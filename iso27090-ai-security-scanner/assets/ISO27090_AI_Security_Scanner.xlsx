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canner" sheetId="2" r:id="rId2"/>
    <sheet name="Dashboard" sheetId="3" r:id="rId3"/>
    <sheet name="Threat Coverage" sheetId="4" r:id="rId4"/>
    <sheet name="30-Day Roadmap" sheetId="5" r:id="rId5"/>
    <sheet name="Control Catalogue" sheetId="6" r:id="rId6"/>
  </sheets>
  <definedNames>
    <definedName name="_xlnm._FilterDatabase" localSheetId="5" hidden="1">'Control Catalogue'!$A$4:$L$58</definedName>
    <definedName name="_xlnm._FilterDatabase" localSheetId="1" hidden="1">Scanner!$A$4:$P$58</definedName>
  </definedNames>
  <calcPr calcId="124519" fullCalcOnLoad="1"/>
</workbook>
</file>

<file path=xl/sharedStrings.xml><?xml version="1.0" encoding="utf-8"?>
<sst xmlns="http://schemas.openxmlformats.org/spreadsheetml/2006/main" count="1593" uniqueCount="653">
  <si>
    <t>ISO/IEC 27090 AI Security Readiness Scanner</t>
  </si>
  <si>
    <t/>
  </si>
  <si>
    <t>Assess where your enterprise stands against ISO/IEC 27090 AI-security guidance and what remains to reach full alignment — sequenced into a 30-day plan.</t>
  </si>
  <si>
    <t>HOW TO USE</t>
  </si>
  <si>
    <t>1. Scope</t>
  </si>
  <si>
    <t>List the AI systems in scope (built, fine-tuned, consumed, embedded vendor AI, RAG pipelines, agents). Assess at enterprise level, or copy the Scanner sheet per critical AI system.</t>
  </si>
  <si>
    <t>2. Score</t>
  </si>
  <si>
    <t>On the Scanner sheet, pick a maturity score (0–4) or N/A in the yellow "Current maturity" column for each of the 54 controls. Record evidence in the notes column.</t>
  </si>
  <si>
    <t>3. Read results</t>
  </si>
  <si>
    <t>Dashboard shows overall readiness, readiness by domain and priority, and open items per 30-day phase. Threat Coverage shows how well each of the 12 ISO/IEC 27090 threats (plus Annex B) is covered.</t>
  </si>
  <si>
    <t>4. Act</t>
  </si>
  <si>
    <t>Filter the Scanner on Status = Gap / Partial and use the 30-Day Roadmap sheet to sequence remediation. P1 controls are the 30-day critical baseline.</t>
  </si>
  <si>
    <t>MATURITY SCALE</t>
  </si>
  <si>
    <t>0 – Not in place</t>
  </si>
  <si>
    <t>No control exists.</t>
  </si>
  <si>
    <t>1 – Ad hoc</t>
  </si>
  <si>
    <t>Informal, undocumented, person-dependent.</t>
  </si>
  <si>
    <t>2 – Partial</t>
  </si>
  <si>
    <t>Defined for some AI systems or not consistently enforced.</t>
  </si>
  <si>
    <t>3 – Implemented</t>
  </si>
  <si>
    <t>Defined, enforced across all in-scope AI systems, evidence exists.</t>
  </si>
  <si>
    <t>4 – Managed</t>
  </si>
  <si>
    <t>Measured, monitored, continuously improved and audit-ready.</t>
  </si>
  <si>
    <t>SCORING LOGIC</t>
  </si>
  <si>
    <t>Target</t>
  </si>
  <si>
    <t>Full alignment target is 3 (Implemented) for every applicable control; raise to 4 for high-risk systems if desired.</t>
  </si>
  <si>
    <t>Readiness %</t>
  </si>
  <si>
    <t>Sum of min(score, target) ÷ sum of targets over applicable controls. Unassessed controls count as 0 (a gap until proven otherwise). N/A controls are excluded.</t>
  </si>
  <si>
    <t>Status</t>
  </si>
  <si>
    <t>Aligned = score ≥ target · Partial = 1 below target · Gap = 2+ below target · Not assessed = blank.</t>
  </si>
  <si>
    <t>Priority</t>
  </si>
  <si>
    <t>P1 = critical baseline, close within 30 days · P2 = close within 30 days where feasible · P3 = Day 31–90 backlog.</t>
  </si>
  <si>
    <t>IMPORTANT NOTES</t>
  </si>
  <si>
    <t>Not certifiable</t>
  </si>
  <si>
    <t>ISO/IEC 27090 is guidance, not a certifiable standard. "Compliance" here means alignment; certification runs through ISO/IEC 27001 (security) and ISO/IEC 42001 (AI management). Put the AI treatments into the 27001 risk treatment plan and SoA.</t>
  </si>
  <si>
    <t>Edition</t>
  </si>
  <si>
    <t>Controls are derived from practitioner analysis of ISO/IEC DIS 27090 (April 2025 draft). The first edition was reportedly published on 14 Oct 2026 — verify clause wording against the published edition before citing in audit evidence.</t>
  </si>
  <si>
    <t>Mappings</t>
  </si>
  <si>
    <t>ISO/IEC 27002, ISO/IEC 42001 and NIST SP 800-53 references are indicative practitioner mappings, not official concordances.</t>
  </si>
  <si>
    <t>Source</t>
  </si>
  <si>
    <t>Kompleye, "Securing AI Systems with ISO/IEC 27090", Oct 2026; ISO/IEC DIS 27090:2025 (paraphrased).</t>
  </si>
  <si>
    <t>ISO/IEC 27090 AI Security Scanner — Self-Assessment</t>
  </si>
  <si>
    <t>Score each control in the yellow column. 0 Not in place · 1 Ad hoc · 2 Partial · 3 Implemented · 4 Managed · N/A not applicable.</t>
  </si>
  <si>
    <t>ID</t>
  </si>
  <si>
    <t>Domain</t>
  </si>
  <si>
    <t>Control</t>
  </si>
  <si>
    <t>Assessment question</t>
  </si>
  <si>
    <t>Threats addressed</t>
  </si>
  <si>
    <t>30-day phase</t>
  </si>
  <si>
    <t>Current maturity (0–4 / N/A)</t>
  </si>
  <si>
    <t>Gap</t>
  </si>
  <si>
    <t>Achieved</t>
  </si>
  <si>
    <t>Target (eff.)</t>
  </si>
  <si>
    <t>Evidence expected</t>
  </si>
  <si>
    <t>Evidence / notes</t>
  </si>
  <si>
    <t>Owner</t>
  </si>
  <si>
    <t>GOV-01</t>
  </si>
  <si>
    <t>Governance &amp; Scope</t>
  </si>
  <si>
    <t>AI system inventory</t>
  </si>
  <si>
    <t>Is there a complete, current inventory of all AI systems (incl. embedded vendor AI, RAG pipelines and agents) with owner, purpose and data used?</t>
  </si>
  <si>
    <t>ALL</t>
  </si>
  <si>
    <t>P1</t>
  </si>
  <si>
    <t>Week 1 · Discover &amp; Govern</t>
  </si>
  <si>
    <t>AI Governance Lead</t>
  </si>
  <si>
    <t>GOV-02</t>
  </si>
  <si>
    <t>AI asset register</t>
  </si>
  <si>
    <t>For each AI system, are training/test data, prep code, model code, hyperparameters, weights, inputs/outputs and retrieval stores recorded as assets with owners?</t>
  </si>
  <si>
    <t>AI asset register per system</t>
  </si>
  <si>
    <t>System Owner</t>
  </si>
  <si>
    <t>GOV-03</t>
  </si>
  <si>
    <t>AI systems in ISMS scope</t>
  </si>
  <si>
    <t>Are AI systems and AI assets explicitly included in the ISO/IEC 27001 ISMS scope statement?</t>
  </si>
  <si>
    <t>Updated ISMS scope</t>
  </si>
  <si>
    <t>ISMS Manager</t>
  </si>
  <si>
    <t>GOV-04</t>
  </si>
  <si>
    <t>AI governance programme</t>
  </si>
  <si>
    <t>Is there an AI governance programme with accountable owners, an AI policy and risk/impact assessment (aligned to ISO/IEC 42001)?</t>
  </si>
  <si>
    <t>P2</t>
  </si>
  <si>
    <t>AI policy, RACI, governance charter</t>
  </si>
  <si>
    <t>CISO / CRO</t>
  </si>
  <si>
    <t>GOV-05</t>
  </si>
  <si>
    <t>AI-specific risk assessment</t>
  </si>
  <si>
    <t>Are the ISO/IEC 27090 AI threats included in the risk assessment and rated per AI system using the existing method?</t>
  </si>
  <si>
    <t>AI risk assessments</t>
  </si>
  <si>
    <t>Risk Manager</t>
  </si>
  <si>
    <t>GOV-06</t>
  </si>
  <si>
    <t>SoA extended with AI treatments</t>
  </si>
  <si>
    <t>Does the Statement of Applicability include AI-specific risk treatments and map them to 27002 / 42001 controls?</t>
  </si>
  <si>
    <t>Week 4 · Validate &amp; Evidence</t>
  </si>
  <si>
    <t>SoA with AI treatments</t>
  </si>
  <si>
    <t>TMV-01</t>
  </si>
  <si>
    <t>Threat Modelling &amp; Validation</t>
  </si>
  <si>
    <t>Threat model all 12 AI threats</t>
  </si>
  <si>
    <t>Has every in-scope AI system been threat-modelled against all twelve ISO/IEC 27090 threats (not just prompt injection)?</t>
  </si>
  <si>
    <t>T01,T02,T03,T04,T05,T06,T07,T08,T09,T10,T11,T12,B01,B02,B03</t>
  </si>
  <si>
    <t>Threat models per system</t>
  </si>
  <si>
    <t>Security Architect</t>
  </si>
  <si>
    <t>TMV-02</t>
  </si>
  <si>
    <t>AI red teaming before release</t>
  </si>
  <si>
    <t>Is AI red teaming (adversarial + harmful-output + classic vulns) performed before every major release?</t>
  </si>
  <si>
    <t>T02,T04,T05,T10,T11,T12</t>
  </si>
  <si>
    <t>Red-team reports</t>
  </si>
  <si>
    <t>Offensive Security</t>
  </si>
  <si>
    <t>TMV-03</t>
  </si>
  <si>
    <t>Joint mitigation portfolio testing</t>
  </si>
  <si>
    <t>When a new AI defence is added, is the full set of defences and model accuracy re-tested together?</t>
  </si>
  <si>
    <t>T01,T02,T03,T04,T05</t>
  </si>
  <si>
    <t>Regression &amp; validation reports</t>
  </si>
  <si>
    <t>ML Engineering Lead</t>
  </si>
  <si>
    <t>TMV-04</t>
  </si>
  <si>
    <t>Continuous validation &amp; drift testing</t>
  </si>
  <si>
    <t>Are models continuously validated against a held-out test set to detect drift or sudden behaviour changes?</t>
  </si>
  <si>
    <t>T01,T02,T06</t>
  </si>
  <si>
    <t>Validation schedule &amp; results</t>
  </si>
  <si>
    <t>TMV-05</t>
  </si>
  <si>
    <t>Defence decay management</t>
  </si>
  <si>
    <t>Is the effectiveness of AI defences monitored over time, with retraining and re-validation before redeployment?</t>
  </si>
  <si>
    <t>T01,T02,T03</t>
  </si>
  <si>
    <t>Day 31–90 · Backlog</t>
  </si>
  <si>
    <t>Defence effectiveness metrics</t>
  </si>
  <si>
    <t>TMV-06</t>
  </si>
  <si>
    <t>Explainability &amp; bias testing as attack signal</t>
  </si>
  <si>
    <t>Are explainability and bias tests run and reviewed as a potential signal of poisoning or manipulation?</t>
  </si>
  <si>
    <t>T01,T06,B03</t>
  </si>
  <si>
    <t>P3</t>
  </si>
  <si>
    <t>Bias / explainability reports</t>
  </si>
  <si>
    <t>Responsible AI Lead</t>
  </si>
  <si>
    <t>ENG-01</t>
  </si>
  <si>
    <t>Secure AI Engineering</t>
  </si>
  <si>
    <t>Secure development discipline for data science</t>
  </si>
  <si>
    <t>Do code review, testing, versioning and pentesting apply to data-science and model code just as for application code?</t>
  </si>
  <si>
    <t>T06,T07,B02,B03</t>
  </si>
  <si>
    <t>Week 2 · Harden Build-time</t>
  </si>
  <si>
    <t>Secure AI SDLC procedure</t>
  </si>
  <si>
    <t>Engineering Lead</t>
  </si>
  <si>
    <t>ENG-02</t>
  </si>
  <si>
    <t>Training data lineage</t>
  </si>
  <si>
    <t>Can you trace every training and fine-tuning dataset back to its source (data lineage)?</t>
  </si>
  <si>
    <t>T01,T06</t>
  </si>
  <si>
    <t>Dataset provenance records</t>
  </si>
  <si>
    <t>Data Engineering Lead</t>
  </si>
  <si>
    <t>ENG-03</t>
  </si>
  <si>
    <t>Model versioning &amp; traceability</t>
  </si>
  <si>
    <t>Is each deployed model version traceable to the exact data, code and hyperparameters used to build it?</t>
  </si>
  <si>
    <t>T06,T07</t>
  </si>
  <si>
    <t>Model registry with lineage</t>
  </si>
  <si>
    <t>ENG-04</t>
  </si>
  <si>
    <t>Change control on models &amp; pipelines</t>
  </si>
  <si>
    <t>Do changes to models, weights, system prompts and ML pipelines go through formal change control?</t>
  </si>
  <si>
    <t>T06,B03</t>
  </si>
  <si>
    <t>Change records</t>
  </si>
  <si>
    <t>Platform Owner</t>
  </si>
  <si>
    <t>SUP-01</t>
  </si>
  <si>
    <t>AI Supply Chain</t>
  </si>
  <si>
    <t>AI / model bill of materials (AIBOM)</t>
  </si>
  <si>
    <t>Does each AI system have an AI/model bill of materials listing models, datasets, libraries and their sources?</t>
  </si>
  <si>
    <t>T06,B02,B03</t>
  </si>
  <si>
    <t>AIBOM per system</t>
  </si>
  <si>
    <t>Supply Chain Security</t>
  </si>
  <si>
    <t>SUP-02</t>
  </si>
  <si>
    <t>Signature verification &amp; dependency pinning</t>
  </si>
  <si>
    <t>Are model artefacts, datasets and ML libraries signature/hash-verified and dependency versions pinned?</t>
  </si>
  <si>
    <t>T06,B02</t>
  </si>
  <si>
    <t>Signing / pinning configuration</t>
  </si>
  <si>
    <t>SUP-03</t>
  </si>
  <si>
    <t>Pretrained model &amp; dataset vetting</t>
  </si>
  <si>
    <t>Are third-party pretrained models and datasets vetted (source reputation, threat intel, scanning) before use?</t>
  </si>
  <si>
    <t>Model / dataset intake approvals</t>
  </si>
  <si>
    <t>SUP-04</t>
  </si>
  <si>
    <t>Supplier assurance for data &amp; models</t>
  </si>
  <si>
    <t>Do supplier contracts and assessments cover the data and models AI vendors provide (not just software)?</t>
  </si>
  <si>
    <t>T01,T06,T08</t>
  </si>
  <si>
    <t>Supplier assurances for data/models</t>
  </si>
  <si>
    <t>Vendor Risk</t>
  </si>
  <si>
    <t>SUP-05</t>
  </si>
  <si>
    <t>Third-party ML tooling control</t>
  </si>
  <si>
    <t>Are notebooks, MLOps platforms and other third-party ML tools in the dev environment assessed and access-controlled?</t>
  </si>
  <si>
    <t>T06,T07,T08</t>
  </si>
  <si>
    <t>Approved ML tooling list</t>
  </si>
  <si>
    <t>DAT-01</t>
  </si>
  <si>
    <t>Data Protection &amp; Limitation</t>
  </si>
  <si>
    <t>Dataset access control (JIT / JEA)</t>
  </si>
  <si>
    <t>Is access to training/test datasets least-privilege with just-in-time / just-enough access and periodic review?</t>
  </si>
  <si>
    <t>T01,T08</t>
  </si>
  <si>
    <t>Dataset access reviews</t>
  </si>
  <si>
    <t>Data Owner</t>
  </si>
  <si>
    <t>DAT-02</t>
  </si>
  <si>
    <t>Dataset integrity &amp; provenance verification</t>
  </si>
  <si>
    <t>Are datasets hashed and integrity-checked, and provenance verified, before each training run?</t>
  </si>
  <si>
    <t>T01</t>
  </si>
  <si>
    <t>Integrity check logs</t>
  </si>
  <si>
    <t>DAT-03</t>
  </si>
  <si>
    <t>Data sanitisation &amp; poisoning detection</t>
  </si>
  <si>
    <t>Is training data sanitised and screened for poisoning (anomaly detection, activation clustering, trigger inversion)?</t>
  </si>
  <si>
    <t>Data quality / screening reports</t>
  </si>
  <si>
    <t>DAT-04</t>
  </si>
  <si>
    <t>Data minimisation</t>
  </si>
  <si>
    <t>Are unnecessary fields/records and data not permitted for the purpose removed before training or indexing?</t>
  </si>
  <si>
    <t>T03,T05,T08,T10</t>
  </si>
  <si>
    <t>Data minimisation records</t>
  </si>
  <si>
    <t>Data Protection Officer</t>
  </si>
  <si>
    <t>DAT-05</t>
  </si>
  <si>
    <t>Retention: deletion &amp; anonymisation</t>
  </si>
  <si>
    <t>Is AI training and inference data deleted or anonymised once no longer needed, per a defined retention schedule?</t>
  </si>
  <si>
    <t>T08,T09</t>
  </si>
  <si>
    <t>Retention schedule &amp; deletion logs</t>
  </si>
  <si>
    <t>DAT-06</t>
  </si>
  <si>
    <t>Privacy-enhancing techniques</t>
  </si>
  <si>
    <t>Where models train on personal/sensitive data, are privacy-enhancing techniques (e.g. differential privacy) applied?</t>
  </si>
  <si>
    <t>T03,T05,T10</t>
  </si>
  <si>
    <t>PET design decisions</t>
  </si>
  <si>
    <t>DAT-07</t>
  </si>
  <si>
    <t>RAG store protection &amp; entitlement-aware retrieval</t>
  </si>
  <si>
    <t>Are RAG/vector stores protected like training data, and does retrieval enforce the end user's access rights?</t>
  </si>
  <si>
    <t>T09,T10,T11</t>
  </si>
  <si>
    <t>Week 3 · Secure Runtime</t>
  </si>
  <si>
    <t>RAG access-control design &amp; tests</t>
  </si>
  <si>
    <t>Application Owner</t>
  </si>
  <si>
    <t>DAT-08</t>
  </si>
  <si>
    <t>Limit public technical disclosure</t>
  </si>
  <si>
    <t>Is public technical detail about your models (architecture, training data, thresholds) deliberately limited?</t>
  </si>
  <si>
    <t>T02,T04,T05</t>
  </si>
  <si>
    <t>Disclosure guideline</t>
  </si>
  <si>
    <t>Communications / Legal</t>
  </si>
  <si>
    <t>DEV-01</t>
  </si>
  <si>
    <t>Development Environment Protection</t>
  </si>
  <si>
    <t>Development environment encryption &amp; segregation</t>
  </si>
  <si>
    <t>Is the data-science / ML development environment encrypted and segregated, with controls at least as strong as production?</t>
  </si>
  <si>
    <t>T01,T06,T07,T08</t>
  </si>
  <si>
    <t>Environment architecture &amp; config evidence</t>
  </si>
  <si>
    <t>Cloud Platform Owner</t>
  </si>
  <si>
    <t>DEV-02</t>
  </si>
  <si>
    <t>Privileged access to weights &amp; pipelines</t>
  </si>
  <si>
    <t>Is access to model weights, training pipelines and model registries privileged, just-in-time and logged?</t>
  </si>
  <si>
    <t>PAM records, access logs</t>
  </si>
  <si>
    <t>IAM Lead</t>
  </si>
  <si>
    <t>DEV-03</t>
  </si>
  <si>
    <t>Model weight protection</t>
  </si>
  <si>
    <t>Are model weights encrypted at rest and protected at runtime (e.g. trusted execution / confidential compute where warranted)?</t>
  </si>
  <si>
    <t>T07</t>
  </si>
  <si>
    <t>Key management &amp; TEE configuration</t>
  </si>
  <si>
    <t>DEV-04</t>
  </si>
  <si>
    <t>Development environment threat detection</t>
  </si>
  <si>
    <t>Does security monitoring cover the ML development environment (notebooks, pipelines, registries, data stores)?</t>
  </si>
  <si>
    <t>SIEM coverage map</t>
  </si>
  <si>
    <t>SOC Lead</t>
  </si>
  <si>
    <t>ZTA-01</t>
  </si>
  <si>
    <t>Zero Trust &amp; Access</t>
  </si>
  <si>
    <t>Zero-trust architecture for AI</t>
  </si>
  <si>
    <t>Is the AI architecture designed on zero-trust principles (assume breach, verify every request, least privilege)?</t>
  </si>
  <si>
    <t>AI reference architecture</t>
  </si>
  <si>
    <t>ZTA-02</t>
  </si>
  <si>
    <t>Authenticated &amp; authorised model access</t>
  </si>
  <si>
    <t>Are all model endpoints and AI APIs authenticated and authorised, with an explicit decision on who may query each model?</t>
  </si>
  <si>
    <t>T03,T04,T05,T11</t>
  </si>
  <si>
    <t>Endpoint access policy</t>
  </si>
  <si>
    <t>ZTA-03</t>
  </si>
  <si>
    <t>End-to-end encryption of AI traffic</t>
  </si>
  <si>
    <t>Are prompts, retrieved context and model outputs encrypted in transit and at rest (incl. logs and caches)?</t>
  </si>
  <si>
    <t>T09</t>
  </si>
  <si>
    <t>Encryption configuration</t>
  </si>
  <si>
    <t>ZTA-04</t>
  </si>
  <si>
    <t>Least model privilege (agents &amp; plug-ins)</t>
  </si>
  <si>
    <t>Are models, plug-ins and agents given minimal autonomous permissions, with agent identities scoped and reviewed like privileged users?</t>
  </si>
  <si>
    <t>T11,T12</t>
  </si>
  <si>
    <t>Agent entitlement register</t>
  </si>
  <si>
    <t>RUN-01</t>
  </si>
  <si>
    <t>Runtime Defences</t>
  </si>
  <si>
    <t>Prompt-injection resilience by design</t>
  </si>
  <si>
    <t>Do LLM apps segregate untrusted input from instructions, use hardened system prompts and restrict untrusted sources?</t>
  </si>
  <si>
    <t>T11</t>
  </si>
  <si>
    <t>LLM app security design</t>
  </si>
  <si>
    <t>RUN-02</t>
  </si>
  <si>
    <t>Input/output guardrails &amp; classifiers</t>
  </si>
  <si>
    <t>Are input/output guardrails or classifiers deployed to detect jailbreaks, prompt injection and unwanted behaviour?</t>
  </si>
  <si>
    <t>T11,T02,T10</t>
  </si>
  <si>
    <t>Guardrail configuration &amp; test results</t>
  </si>
  <si>
    <t>RUN-03</t>
  </si>
  <si>
    <t>Treat model output as untrusted</t>
  </si>
  <si>
    <t>Is model output always encoded/validated before downstream use (prevent XSS, command or SQL injection)?</t>
  </si>
  <si>
    <t>T12</t>
  </si>
  <si>
    <t>Secure coding standard &amp; tests</t>
  </si>
  <si>
    <t>RUN-04</t>
  </si>
  <si>
    <t>Sensitive output filtering &amp; redaction</t>
  </si>
  <si>
    <t>Are model outputs scanned and personal/protected data filtered or redacted before delivery?</t>
  </si>
  <si>
    <t>T10,T03,T05</t>
  </si>
  <si>
    <t>DLP / redaction rules</t>
  </si>
  <si>
    <t>RUN-05</t>
  </si>
  <si>
    <t>Per-user rate limiting &amp; throttling</t>
  </si>
  <si>
    <t>Are per-user/per-key rate limits and quotas enforced on model endpoints to slow extraction and probing?</t>
  </si>
  <si>
    <t>T02,T03,T04,T05,B01</t>
  </si>
  <si>
    <t>Rate-limit policy</t>
  </si>
  <si>
    <t>RUN-06</t>
  </si>
  <si>
    <t>Minimal outputs &amp; obscured confidence</t>
  </si>
  <si>
    <t>Do model APIs return minimal outputs and drop or round confidence scores/logits?</t>
  </si>
  <si>
    <t>T02,T03,T04,T05</t>
  </si>
  <si>
    <t>API response design</t>
  </si>
  <si>
    <t>RUN-07</t>
  </si>
  <si>
    <t>Out-of-distribution &amp; adversarial input detection</t>
  </si>
  <si>
    <t>Are out-of-distribution and adversarial inputs (e.g. many tiny variations, systematic sweeps) detected and flagged?</t>
  </si>
  <si>
    <t>Detector configuration</t>
  </si>
  <si>
    <t>RUN-08</t>
  </si>
  <si>
    <t>Robustness hardening for high-risk models</t>
  </si>
  <si>
    <t>For high-risk models, are robustness techniques (adversarial training, smoothing, denoising, ensembles) applied?</t>
  </si>
  <si>
    <t>T02,T01</t>
  </si>
  <si>
    <t>Robustness test results</t>
  </si>
  <si>
    <t>RUN-09</t>
  </si>
  <si>
    <t>Resource-exhaustion protection</t>
  </si>
  <si>
    <t>Are input size/complexity limits, token caps and cost quotas in place to prevent resource-exhaustion attacks?</t>
  </si>
  <si>
    <t>B01</t>
  </si>
  <si>
    <t>Quota &amp; limit configuration</t>
  </si>
  <si>
    <t>RUN-10</t>
  </si>
  <si>
    <t>Model IP protection (watermarking)</t>
  </si>
  <si>
    <t>Are high-value proprietary models watermarked or otherwise protected to evidence theft or extraction?</t>
  </si>
  <si>
    <t>T04,T07</t>
  </si>
  <si>
    <t>Watermarking decision</t>
  </si>
  <si>
    <t>RUN-11</t>
  </si>
  <si>
    <t>Continuous-learning safeguards</t>
  </si>
  <si>
    <t>If models learn continuously, is live/feedback data gated and validated before it is used for retraining?</t>
  </si>
  <si>
    <t>Feedback-data pipeline controls</t>
  </si>
  <si>
    <t>MON-01</t>
  </si>
  <si>
    <t>Logging, Monitoring &amp; Response</t>
  </si>
  <si>
    <t>AI interaction logging</t>
  </si>
  <si>
    <t>Are AI interactions logged with input, output, user identity, timestamp and model version?</t>
  </si>
  <si>
    <t>Log schema &amp; samples</t>
  </si>
  <si>
    <t>MON-02</t>
  </si>
  <si>
    <t>AI-specific detection use-cases</t>
  </si>
  <si>
    <t>Does the SOC have detection rules for AI attack patterns (query sweeps, extraction behaviour, injection attempts)?</t>
  </si>
  <si>
    <t>T02,T03,T04,T05,T11</t>
  </si>
  <si>
    <t>Detection rule catalogue</t>
  </si>
  <si>
    <t>MON-03</t>
  </si>
  <si>
    <t>AI data loss detection</t>
  </si>
  <si>
    <t>Does data loss detection cover training datasets, prompts, RAG context and model outputs?</t>
  </si>
  <si>
    <t>T08,T09,T10</t>
  </si>
  <si>
    <t>DLP coverage evidence</t>
  </si>
  <si>
    <t>MON-04</t>
  </si>
  <si>
    <t>AI incident response playbooks</t>
  </si>
  <si>
    <t>Are there AI-specific incident playbooks (poisoning, extraction, injection, leakage) integrated into existing incident response?</t>
  </si>
  <si>
    <t>AI IR playbooks &amp; exercise record</t>
  </si>
  <si>
    <t>Incident Response Lead</t>
  </si>
  <si>
    <t>OVS-01</t>
  </si>
  <si>
    <t>Oversight &amp; Transparency</t>
  </si>
  <si>
    <t>Effective human oversight</t>
  </si>
  <si>
    <t>For high-impact AI decisions/actions, is human oversight designed and tested so reviewers stay engaged (not rubber-stamping)?</t>
  </si>
  <si>
    <t>T11,T12,T02</t>
  </si>
  <si>
    <t>Oversight design &amp; review metrics</t>
  </si>
  <si>
    <t>Business Owner</t>
  </si>
  <si>
    <t>OVS-02</t>
  </si>
  <si>
    <t>Transparency to users</t>
  </si>
  <si>
    <t>Are users informed when AI is involved and of its reliability and limitations?</t>
  </si>
  <si>
    <t>—</t>
  </si>
  <si>
    <t>User-facing AI notices</t>
  </si>
  <si>
    <t>Product Owner</t>
  </si>
  <si>
    <t>ISO/IEC 27090 AI Security Readiness — Dashboard</t>
  </si>
  <si>
    <t>Live results from the Scanner sheet. Unassessed controls count as open gaps.</t>
  </si>
  <si>
    <t>Overall readiness</t>
  </si>
  <si>
    <t>Controls assessed</t>
  </si>
  <si>
    <t>Aligned</t>
  </si>
  <si>
    <t>Partial</t>
  </si>
  <si>
    <t>Open P1 controls</t>
  </si>
  <si>
    <t>Verdict</t>
  </si>
  <si>
    <t>Readiness by domain</t>
  </si>
  <si>
    <t>Controls</t>
  </si>
  <si>
    <t>Assessed</t>
  </si>
  <si>
    <t>Open P1</t>
  </si>
  <si>
    <t>Readiness by priority</t>
  </si>
  <si>
    <t>Open</t>
  </si>
  <si>
    <t>P1 - Critical baseline (within 30 days)</t>
  </si>
  <si>
    <t>P2 - Important (within 30 days if feasible)</t>
  </si>
  <si>
    <t>P3 - Day 31-90 backlog</t>
  </si>
  <si>
    <t>Open items by 30-day phase</t>
  </si>
  <si>
    <t>Open items</t>
  </si>
  <si>
    <t>ISO/IEC 27090 threat coverage</t>
  </si>
  <si>
    <t>How well your scored controls cover each of the twelve AI-specific threats and the Annex B attacks.</t>
  </si>
  <si>
    <t>Code</t>
  </si>
  <si>
    <t>Threat</t>
  </si>
  <si>
    <t>Life-cycle stage</t>
  </si>
  <si>
    <t>Property hit</t>
  </si>
  <si>
    <t>Detection</t>
  </si>
  <si>
    <t>Key mitigations</t>
  </si>
  <si>
    <t>Coverage %</t>
  </si>
  <si>
    <t>Mapped controls</t>
  </si>
  <si>
    <t>Data poisoning</t>
  </si>
  <si>
    <t>Development; runtime if continuous learning</t>
  </si>
  <si>
    <t>Integrity</t>
  </si>
  <si>
    <t>Dataset hashing/integrity checks, anomaly detection, trigger inversion, activation clustering</t>
  </si>
  <si>
    <t>Data provenance, dataset access control, sanitisation, ensembles, robust training, fine-pruning</t>
  </si>
  <si>
    <t>TMV-01, TMV-03, TMV-04, TMV-05, TMV-06, ENG-02, SUP-03, SUP-04, DAT-01, DAT-02, DAT-03, DEV-01, DEV-04, RUN-08, RUN-11</t>
  </si>
  <si>
    <t>T02</t>
  </si>
  <si>
    <t>Evasion (adversarial examples)</t>
  </si>
  <si>
    <t>Runtime</t>
  </si>
  <si>
    <t>Parallel detector models, input/output distribution monitoring</t>
  </si>
  <si>
    <t>Adversarial training, randomised smoothing, input denoising, ensembles, usage monitoring</t>
  </si>
  <si>
    <t>TMV-01, TMV-02, TMV-03, TMV-04, TMV-05, DAT-08, RUN-02, RUN-05, RUN-06, RUN-07, RUN-08, MON-02, OVS-01</t>
  </si>
  <si>
    <t>T03</t>
  </si>
  <si>
    <t>Membership inference</t>
  </si>
  <si>
    <t>Confidentiality (privacy)</t>
  </si>
  <si>
    <t>Query-pattern analysis, access auditing</t>
  </si>
  <si>
    <t>Differential privacy, data minimisation, query limits, hiding confidence scores, dropout</t>
  </si>
  <si>
    <t>TMV-01, TMV-03, TMV-05, DAT-04, DAT-06, ZTA-02, RUN-04, RUN-05, RUN-06, MON-02</t>
  </si>
  <si>
    <t>T04</t>
  </si>
  <si>
    <t>Model exfiltration</t>
  </si>
  <si>
    <t>Confidentiality (IP)</t>
  </si>
  <si>
    <t>Per-caller behaviour analytics, unusual query distributions</t>
  </si>
  <si>
    <t>Throttling, minimal outputs, access control, watermarking</t>
  </si>
  <si>
    <t>TMV-01, TMV-02, TMV-03, DAT-08, ZTA-02, RUN-05, RUN-06, RUN-07, RUN-10, MON-02</t>
  </si>
  <si>
    <t>T05</t>
  </si>
  <si>
    <t>Model inversion</t>
  </si>
  <si>
    <t>Confidentiality</t>
  </si>
  <si>
    <t>As exfiltration; queries sweeping the input space</t>
  </si>
  <si>
    <t>Rate limits, differential privacy, obscured confidence</t>
  </si>
  <si>
    <t>TMV-01, TMV-02, TMV-03, DAT-04, DAT-06, DAT-08, ZTA-02, RUN-04, RUN-05, RUN-06, RUN-07, MON-02</t>
  </si>
  <si>
    <t>T06</t>
  </si>
  <si>
    <t>Direct model poisoning</t>
  </si>
  <si>
    <t>Development, supply chain, runtime</t>
  </si>
  <si>
    <t>General attack detection, threat intel on model sources</t>
  </si>
  <si>
    <t>Protect dev/runtime environments, trusted execution, supply-chain controls</t>
  </si>
  <si>
    <t>TMV-01, TMV-04, TMV-06, ENG-01, ENG-02, ENG-03, ENG-04, SUP-01, SUP-02, SUP-03, SUP-04, SUP-05, DEV-01, DEV-02, DEV-04</t>
  </si>
  <si>
    <t>Direct model theft</t>
  </si>
  <si>
    <t>Development, runtime</t>
  </si>
  <si>
    <t>General attack detection</t>
  </si>
  <si>
    <t>Environment hardening, trusted execution, model obfuscation</t>
  </si>
  <si>
    <t>TMV-01, ENG-01, ENG-03, SUP-05, DEV-01, DEV-02, DEV-03, DEV-04, RUN-10</t>
  </si>
  <si>
    <t>T08</t>
  </si>
  <si>
    <t>Training data leak</t>
  </si>
  <si>
    <t>Development; runtime if data collected live</t>
  </si>
  <si>
    <t>Data loss detection</t>
  </si>
  <si>
    <t>Standard data protection, least privilege, federated learning</t>
  </si>
  <si>
    <t>TMV-01, SUP-04, SUP-05, DAT-01, DAT-04, DAT-05, DEV-01, DEV-04, MON-03</t>
  </si>
  <si>
    <t>Model input leak</t>
  </si>
  <si>
    <t>Encryption, access control, align RAG content with user rights</t>
  </si>
  <si>
    <t>TMV-01, DAT-05, DAT-07, ZTA-03, MON-03</t>
  </si>
  <si>
    <t>T10</t>
  </si>
  <si>
    <t>Sensitive model output</t>
  </si>
  <si>
    <t>Pattern-based output scanning</t>
  </si>
  <si>
    <t>Output filtering and redaction</t>
  </si>
  <si>
    <t>TMV-01, TMV-02, DAT-04, DAT-06, DAT-07, RUN-02, RUN-04, MON-03</t>
  </si>
  <si>
    <t>Prompt injection</t>
  </si>
  <si>
    <t>Integrity, confidentiality</t>
  </si>
  <si>
    <t>Input/output classifiers, logging heuristics</t>
  </si>
  <si>
    <t>Input segregation, least model privilege, limit untrusted sources, hardened system prompts</t>
  </si>
  <si>
    <t>TMV-01, TMV-02, DAT-07, ZTA-02, ZTA-04, RUN-01, RUN-02, MON-02, OVS-01</t>
  </si>
  <si>
    <t>Output injection</t>
  </si>
  <si>
    <t>Standard output validation</t>
  </si>
  <si>
    <t>Treat output as untrusted; encode and validate before use</t>
  </si>
  <si>
    <t>TMV-01, TMV-02, ZTA-04, RUN-03, OVS-01</t>
  </si>
  <si>
    <t>Resource-exhaustion inputs (Annex B)</t>
  </si>
  <si>
    <t>Availability</t>
  </si>
  <si>
    <t>Cost / latency anomaly monitoring</t>
  </si>
  <si>
    <t>Input size &amp; complexity limits, quotas, rate limits</t>
  </si>
  <si>
    <t>TMV-01, RUN-05, RUN-09</t>
  </si>
  <si>
    <t>B02</t>
  </si>
  <si>
    <t>Compromised libraries / RNG (Annex B)</t>
  </si>
  <si>
    <t>Development, supply chain</t>
  </si>
  <si>
    <t>Supply-chain integrity checks</t>
  </si>
  <si>
    <t>Signature verification, dependency pinning, AIBOM</t>
  </si>
  <si>
    <t>TMV-01, ENG-01, SUP-01, SUP-02</t>
  </si>
  <si>
    <t>B03</t>
  </si>
  <si>
    <t>Architectural backdoors (Annex B)</t>
  </si>
  <si>
    <t>Model review, threat intel on model sources</t>
  </si>
  <si>
    <t>Vetted model sources, provenance, change control</t>
  </si>
  <si>
    <t>TMV-01, TMV-06, ENG-01, ENG-04, SUP-01, SUP-03</t>
  </si>
  <si>
    <t>30-Day Plan to Secure Enterprise AI Systems (ISO/IEC 27090)</t>
  </si>
  <si>
    <t>Week-by-week sequence. Open items update live from the Scanner. P1 controls are the critical baseline to close within 30 days; P3 items roll into the Day 31–90 backlog.</t>
  </si>
  <si>
    <t>Phase</t>
  </si>
  <si>
    <t>Days</t>
  </si>
  <si>
    <t>Objective</t>
  </si>
  <si>
    <t>Key actions</t>
  </si>
  <si>
    <t>Exit criteria / evidence</t>
  </si>
  <si>
    <t>Lead</t>
  </si>
  <si>
    <t>Days 1–7</t>
  </si>
  <si>
    <t>Know what you have and bring it under governance</t>
  </si>
  <si>
    <t>• Stand up an AI security tiger team with a RACI
• Complete the AI system inventory, including shadow and vendor-embedded AI, RAG and agents
• Build asset registers for the critical AI systems
• Bring AI into the ISO 27001 ISMS scope and risk register
• Threat-model the top critical systems against all 12 ISO/IEC 27090 threats
• Turn on baseline AI interaction logging</t>
  </si>
  <si>
    <t>GOV-01, GOV-02, GOV-03, GOV-04, GOV-05, TMV-01, MON-01</t>
  </si>
  <si>
    <t>AI inventory, asset registers, updated ISMS scope, AI risk entries, threat models for critical systems, log schema live</t>
  </si>
  <si>
    <t>CISO + AI Governance Lead</t>
  </si>
  <si>
    <t>Days 8–14</t>
  </si>
  <si>
    <t>Protect where the crown jewels live: the build environment</t>
  </si>
  <si>
    <t>• Segregate and encrypt the data-science / MLOps environment
• Enforce JIT privileged access to weights, datasets and pipelines
• Produce an AIBOM per critical system; verify signatures and pin dependencies
• Hash datasets and record lineage
• Vet third-party pretrained models and ML tooling
• Apply the secure SDLC to data-science code</t>
  </si>
  <si>
    <t>ENG-01, ENG-02, ENG-03, ENG-04, SUP-01, SUP-02, SUP-03, SUP-05, DAT-01, DAT-02, DAT-03, DAT-04, DEV-01, DEV-02, DEV-03, DEV-04</t>
  </si>
  <si>
    <t>Environment architecture evidence, PAM/access reviews, AIBOMs, integrity logs, approved model &amp; tooling list</t>
  </si>
  <si>
    <t>Cloud Platform + Data Engineering</t>
  </si>
  <si>
    <t>Days 15–21</t>
  </si>
  <si>
    <t>Make the running model hard to abuse</t>
  </si>
  <si>
    <t>• Authenticate and authorise every model endpoint
• Apply least model privilege to agents and plug-ins
• Deploy prompt-injection design patterns and input/output guardrails
• Validate and encode all model output; redact sensitive output
• Enforce per-user rate limits, token caps and cost quotas
• Enforce entitlement-aware RAG retrieval
• Ship SOC detections for AI attack patterns</t>
  </si>
  <si>
    <t>DAT-07, ZTA-01, ZTA-02, ZTA-03, ZTA-04, RUN-01, RUN-02, RUN-03, RUN-04, RUN-05, RUN-06, RUN-07, RUN-09, MON-02, MON-03, OVS-01</t>
  </si>
  <si>
    <t>Endpoint access policy, agent entitlement register, guardrail configs and tests, rate-limit policy, SIEM AI rule catalogue</t>
  </si>
  <si>
    <t>Application Owners + SOC</t>
  </si>
  <si>
    <t>Days 22–30</t>
  </si>
  <si>
    <t>Prove it works and produce audit-ready evidence</t>
  </si>
  <si>
    <t>• Red-team the critical AI systems
• Regression-test the defence portfolio together with model accuracy
• Set the continuous validation and drift schedule
• Publish AI incident playbooks and run a tabletop
• Extend the SoA with AI treatments
• Request supplier assurances covering data and models
• Publish user transparency notices
• Re-run this scanner and brief leadership</t>
  </si>
  <si>
    <t>GOV-06, TMV-02, TMV-03, TMV-04, SUP-04, MON-04, OVS-02</t>
  </si>
  <si>
    <t>Red-team and validation reports, IR playbooks plus exercise record, extended SoA, supplier assurances, re-scan results</t>
  </si>
  <si>
    <t>CISO + Offensive Security</t>
  </si>
  <si>
    <t>Days 31–90</t>
  </si>
  <si>
    <t>Close the long tail and extend to all AI systems</t>
  </si>
  <si>
    <t>• Privacy-enhancing techniques
• Retention and deletion of AI data
• Robustness hardening for high-risk models
• Watermarking for proprietary models
• Continuous-learning safeguards
• Defence decay management
• Explainability and bias testing
• Limit public model disclosures
• Roll out controls to the remaining AI systems</t>
  </si>
  <si>
    <t>TMV-05, TMV-06, DAT-05, DAT-06, DAT-08, RUN-08, RUN-10, RUN-11</t>
  </si>
  <si>
    <t>Backlog closure evidence; readiness for ISO 27001 / 42001 audit</t>
  </si>
  <si>
    <t>Governance cadence</t>
  </si>
  <si>
    <t>Daily</t>
  </si>
  <si>
    <t>15-minute tiger-team stand-up on blockers</t>
  </si>
  <si>
    <t>Weekly</t>
  </si>
  <si>
    <t>Steering review with CISO / CIO: re-score changed controls and review the Dashboard</t>
  </si>
  <si>
    <t>Day 30</t>
  </si>
  <si>
    <t>Leadership readout: readiness %, open P1s, residual risk acceptance, Day 31–90 plan</t>
  </si>
  <si>
    <t>ISO/IEC 27090 AI Security Control Catalogue (54 controls)</t>
  </si>
  <si>
    <t>Controls derived from ISO/IEC DIS 27090 threats, foundational practices and cross-cutting mitigations. Framework references are indicative practitioner mappings.</t>
  </si>
  <si>
    <t>Requirement (what good looks like)</t>
  </si>
  <si>
    <t>ISO/IEC 27090 threats</t>
  </si>
  <si>
    <t>ISO/IEC 27002:2022</t>
  </si>
  <si>
    <t>ISO/IEC 42001</t>
  </si>
  <si>
    <t>NIST SP 800-53 / other</t>
  </si>
  <si>
    <t>Audit evidence</t>
  </si>
  <si>
    <t>Complete inventory of every AI system built, fine-tuned or consumed — including vendor-embedded AI, copilots, RAG pipelines and agents — with owner, purpose and data used.</t>
  </si>
  <si>
    <t>5.9</t>
  </si>
  <si>
    <t>AIMS scope</t>
  </si>
  <si>
    <t>PM-5, CM-8</t>
  </si>
  <si>
    <t>For each AI system, record its AI assets: training/test data, data-prep code, model code &amp; hyperparameters, trained weights, inference inputs/outputs and retrieval stores.</t>
  </si>
  <si>
    <t>CM-8</t>
  </si>
  <si>
    <t>AI systems and their assets are formally within the ISO/IEC 27001 ISMS scope and subject to its risk process.</t>
  </si>
  <si>
    <t>27001 cl. 4.3</t>
  </si>
  <si>
    <t>PM-9</t>
  </si>
  <si>
    <t>An AI governance programme (AI management system per ISO/IEC 42001) with accountable roles, AI policy, and risk &amp; impact assessment.</t>
  </si>
  <si>
    <t>5.1, 5.2</t>
  </si>
  <si>
    <t>AIMS (42001)</t>
  </si>
  <si>
    <t>PM-9, RA-3</t>
  </si>
  <si>
    <t>The 27090 threats are added to the existing risk method; likelihood and impact rated per AI system and stage.</t>
  </si>
  <si>
    <t>27001 cl. 6.1.2</t>
  </si>
  <si>
    <t>RA-3</t>
  </si>
  <si>
    <t>Statement of Applicability maps AI treatments to 27002 controls and adds AI-specific measures (provenance, throttling, confidence obscuring, guardrails) where no control fits.</t>
  </si>
  <si>
    <t>27001 SoA</t>
  </si>
  <si>
    <t>Annex A/B</t>
  </si>
  <si>
    <t>Each AI system is threat-modelled against all twelve 27090 threats (plus Annex B) across its life-cycle stages and assets.</t>
  </si>
  <si>
    <t>8.25</t>
  </si>
  <si>
    <t>A.6.2.3</t>
  </si>
  <si>
    <t>RA-3, SA-8, SA-11(2)</t>
  </si>
  <si>
    <t>AI-informed red teaming covering adversarial attacks and harmful outputs, as well as classic vulnerabilities, before each major release.</t>
  </si>
  <si>
    <t>8.29</t>
  </si>
  <si>
    <t>A.6.2.6</t>
  </si>
  <si>
    <t>CA-8, SA-11</t>
  </si>
  <si>
    <t>Whenever a mitigation is added, the whole defence portfolio and model accuracy are tested together, because defences can weaken each other.</t>
  </si>
  <si>
    <t>SA-11</t>
  </si>
  <si>
    <t>Models are re-tested against a held-out set on a schedule to catch sudden behaviour change and drift.</t>
  </si>
  <si>
    <t>8.16</t>
  </si>
  <si>
    <t>B.6.2.6</t>
  </si>
  <si>
    <t>CA-7, RA-5</t>
  </si>
  <si>
    <t>Effectiveness of training-based defences is monitored in operation; models retrained when needed and re-validated before redeployment.</t>
  </si>
  <si>
    <t>CA-7</t>
  </si>
  <si>
    <t>Explainability and bias testing are used to surface attacks that show as unexpected reasoning or skew.</t>
  </si>
  <si>
    <t>Code review, testing, versioning, threat modelling and penetration testing apply to data-science work; mixed DS/SWE teams.</t>
  </si>
  <si>
    <t>8.25, 5.37</t>
  </si>
  <si>
    <t>A.6.2.3, A.6.2.6</t>
  </si>
  <si>
    <t>SA-3, SA-15, SSDF 800-218A</t>
  </si>
  <si>
    <t>Lineage of all training/fine-tuning data is recorded from source to model.</t>
  </si>
  <si>
    <t>B.7.5</t>
  </si>
  <si>
    <t>SR-4</t>
  </si>
  <si>
    <t>Every model version is traceable to the data, code and hyperparameters that produced it.</t>
  </si>
  <si>
    <t>CM-3</t>
  </si>
  <si>
    <t>Changes to models, weights, prompts and pipelines follow formal change management with approval.</t>
  </si>
  <si>
    <t>8.32</t>
  </si>
  <si>
    <t>CM-3, CM-4</t>
  </si>
  <si>
    <t>An AIBOM records models, datasets, libraries and their provenance for every AI system.</t>
  </si>
  <si>
    <t>5.19–5.23, 8.30</t>
  </si>
  <si>
    <t>SR-2, SR-3, SR-4, SR-11, CM-8</t>
  </si>
  <si>
    <t>Models, datasets and libraries are signature/hash verified and dependencies are pinned.</t>
  </si>
  <si>
    <t>5.21</t>
  </si>
  <si>
    <t>SR-4, SR-11, SI-7</t>
  </si>
  <si>
    <t>Third-party pretrained models and datasets are vetted before use, informed by threat intelligence on model sources.</t>
  </si>
  <si>
    <t>5.7, 5.19</t>
  </si>
  <si>
    <t>SR-3</t>
  </si>
  <si>
    <t>Supplier contracts and assurance cover data and models — not only code — including AI vendors and embedded AI.</t>
  </si>
  <si>
    <t>5.20, 5.22</t>
  </si>
  <si>
    <t>Notebooks, MLOps platforms and other tooling running inside the development environment are assessed and controlled.</t>
  </si>
  <si>
    <t>5.23, 8.30</t>
  </si>
  <si>
    <t>SR-3, CM-8</t>
  </si>
  <si>
    <t>Least-privilege, just-in-time and just-enough access to training, test and fine-tuning datasets.</t>
  </si>
  <si>
    <t>5.15, 5.18, 8.2, 8.3</t>
  </si>
  <si>
    <t>AC-3, AC-6</t>
  </si>
  <si>
    <t>Datasets are hashed and integrity-checked; provenance is verified before training.</t>
  </si>
  <si>
    <t>B.7.4, B.7.5</t>
  </si>
  <si>
    <t>SI-7, SR-4</t>
  </si>
  <si>
    <t>Training data is sanitised and screened (anomaly detection, activation clustering, trigger inversion) for poisoning.</t>
  </si>
  <si>
    <t>B.7.4</t>
  </si>
  <si>
    <t>SI-7</t>
  </si>
  <si>
    <t>Fields and records the model does not need, and data not permitted for the purpose, are removed before training.</t>
  </si>
  <si>
    <t>5.34</t>
  </si>
  <si>
    <t>PT controls</t>
  </si>
  <si>
    <t>Training and inference data is deleted or anonymised once no longer needed.</t>
  </si>
  <si>
    <t>8.10, 8.11</t>
  </si>
  <si>
    <t>Differential privacy or other obfuscation is applied where models are trained on personal or sensitive data.</t>
  </si>
  <si>
    <t>8.11</t>
  </si>
  <si>
    <t>Retrieval stores are protected like training data, and retrieved content is aligned with the requesting user's rights.</t>
  </si>
  <si>
    <t>5.15, 8.3</t>
  </si>
  <si>
    <t>AC-3</t>
  </si>
  <si>
    <t>Public technical detail about models is limited, balanced against transparency duties.</t>
  </si>
  <si>
    <t>5.12</t>
  </si>
  <si>
    <t>B.7.2</t>
  </si>
  <si>
    <t>The data-science environment is encrypted, segregated from other environments and tightly controlled — it usually holds more sensitive data than production.</t>
  </si>
  <si>
    <t>5.33, 5.23, 8.31</t>
  </si>
  <si>
    <t>SC-28, SA-3, CM-4</t>
  </si>
  <si>
    <t>Just-in-time privileged access to model weights, training pipelines and model registries, with logging.</t>
  </si>
  <si>
    <t>8.2, 5.18</t>
  </si>
  <si>
    <t>AC-6, AC-2</t>
  </si>
  <si>
    <t>Weights are encrypted at rest and protected in memory (trusted execution, obfuscation where warranted).</t>
  </si>
  <si>
    <t>8.24</t>
  </si>
  <si>
    <t>SC-28, SC-39</t>
  </si>
  <si>
    <t>Attack detection and monitoring cover the ML development estate, not just production.</t>
  </si>
  <si>
    <t>SI-4</t>
  </si>
  <si>
    <t>Assume breach, verify every request, encrypt end to end and grant least privilege across the AI stack.</t>
  </si>
  <si>
    <t>8.27</t>
  </si>
  <si>
    <t>SA-8</t>
  </si>
  <si>
    <t>Only authenticated, authorised callers may query models and AI APIs; who may query is a defined decision.</t>
  </si>
  <si>
    <t>5.15, 8.3, 8.5</t>
  </si>
  <si>
    <t>Prompts, retrieved context and outputs are encrypted in transit and at rest.</t>
  </si>
  <si>
    <t>SC-8, SC-28</t>
  </si>
  <si>
    <t>Models, plug-ins and agents get minimal autonomous permissions; agents are treated as non-human identities with scoped entitlements.</t>
  </si>
  <si>
    <t>8.2</t>
  </si>
  <si>
    <t>B.9.3</t>
  </si>
  <si>
    <t>Input segregation, hardened system prompts and limited access to untrusted sources for LLM applications.</t>
  </si>
  <si>
    <t>8.28</t>
  </si>
  <si>
    <t>SI-10</t>
  </si>
  <si>
    <t>Classifiers and rule-based guardrails detect jailbreaks, injections and unwanted behaviour on input and output.</t>
  </si>
  <si>
    <t>SI-10, SI-4, SI-3</t>
  </si>
  <si>
    <t>Model output is encoded and validated before it reaches browsers, shells, databases or other systems.</t>
  </si>
  <si>
    <t>SI-10, SI-15</t>
  </si>
  <si>
    <t>Pattern-based output scanning filters and redacts personal or protected data.</t>
  </si>
  <si>
    <t>8.12</t>
  </si>
  <si>
    <t>SI-15</t>
  </si>
  <si>
    <t>Per-user rate limits slow attacker experimentation, not just protect capacity.</t>
  </si>
  <si>
    <t>8.6</t>
  </si>
  <si>
    <t>SC-5, AC-7</t>
  </si>
  <si>
    <t>Outputs reveal the minimum needed; confidence scores are dropped or rounded.</t>
  </si>
  <si>
    <t>Inputs unlike the training data, and per-user patterns such as many tiny variations, are flagged for logging or rejection.</t>
  </si>
  <si>
    <t>Adversarial training, randomised smoothing, input denoising or ensembles are applied to high-risk models.</t>
  </si>
  <si>
    <t>Input size/complexity limits and cost quotas prevent inference-cost DoS.</t>
  </si>
  <si>
    <t>SC-5</t>
  </si>
  <si>
    <t>Watermarking or similar techniques help evidence model theft or extraction.</t>
  </si>
  <si>
    <t>Feedback or live data used for continuous learning is gated, validated and screened before retraining.</t>
  </si>
  <si>
    <t>Logs record input, output, user, time and model version for every AI interaction.</t>
  </si>
  <si>
    <t>8.15, 8.16</t>
  </si>
  <si>
    <t>AU-2, AU-12</t>
  </si>
  <si>
    <t>SIEM detections for AI attack patterns: query sweeps, many tiny variations, per-caller anomalies, injection attempts.</t>
  </si>
  <si>
    <t>AU-6, SI-4</t>
  </si>
  <si>
    <t>Data loss detection covers training data, prompts, RAG context and outputs.</t>
  </si>
  <si>
    <t>AI incidents (poisoning, extraction, injection, data leak) have playbooks routed into the existing IR process.</t>
  </si>
  <si>
    <t>5.24–5.28</t>
  </si>
  <si>
    <t>IR-4</t>
  </si>
  <si>
    <t>Human review for high-impact AI decisions and actions is designed to keep reviewers engaged rather than rubber-stamping.</t>
  </si>
  <si>
    <t>AC-6</t>
  </si>
  <si>
    <t>Users are told when AI is involved and how reliable it is, to curb over-reliance.</t>
  </si>
  <si>
    <t>Threat codes</t>
  </si>
  <si>
    <t>T01 Data poisoning · T02 Evasion · T03 Membership inference · T04 Model exfiltration · T05 Model inversion · T06 Direct model poisoning · T07 Direct model theft · T08 Training data leak · T09 Model input leak · T10 Sensitive model output · T11 Prompt injection · T12 Output injection · B01–B03 Annex B (resource exhaustion, compromised libraries/RNG, architectural backdoors)</t>
  </si>
</sst>
</file>

<file path=xl/styles.xml><?xml version="1.0" encoding="utf-8"?>
<styleSheet xmlns="http://schemas.openxmlformats.org/spreadsheetml/2006/main">
  <numFmts count="2">
    <numFmt numFmtId="164" formatCode="0%"/>
    <numFmt numFmtId="165" formatCode="@"/>
  </numFmts>
  <fonts count="12">
    <font>
      <sz val="11"/>
      <color theme="1"/>
      <name val="Calibri"/>
      <family val="2"/>
      <scheme val="minor"/>
    </font>
    <font>
      <b/>
      <sz val="18"/>
      <color rgb="FF1F3A5F"/>
      <name val="Calibri"/>
      <family val="2"/>
      <scheme val="minor"/>
    </font>
    <font>
      <i/>
      <sz val="11"/>
      <color rgb="FF5E5E5E"/>
      <name val="Calibri"/>
      <family val="2"/>
      <scheme val="minor"/>
    </font>
    <font>
      <b/>
      <sz val="11"/>
      <color rgb="FF1F3A5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9"/>
      <color rgb="FF667085"/>
      <name val="Calibri"/>
      <family val="2"/>
      <scheme val="minor"/>
    </font>
    <font>
      <b/>
      <sz val="20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7C8C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6F4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/>
    <xf numFmtId="0" fontId="5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wrapText="1"/>
    </xf>
    <xf numFmtId="164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vertical="center" wrapText="1"/>
    </xf>
    <xf numFmtId="165" fontId="0" fillId="0" borderId="2" xfId="0" applyNumberFormat="1" applyBorder="1" applyAlignment="1">
      <alignment vertical="top" wrapText="1"/>
    </xf>
    <xf numFmtId="1" fontId="0" fillId="0" borderId="2" xfId="0" applyNumberFormat="1" applyBorder="1" applyAlignment="1">
      <alignment horizontal="center" vertical="top" wrapText="1"/>
    </xf>
    <xf numFmtId="164" fontId="0" fillId="0" borderId="2" xfId="0" applyNumberFormat="1" applyBorder="1" applyAlignment="1">
      <alignment horizontal="center" vertical="top" wrapText="1"/>
    </xf>
    <xf numFmtId="165" fontId="0" fillId="0" borderId="2" xfId="0" applyNumberFormat="1" applyBorder="1" applyAlignment="1">
      <alignment horizontal="center" vertical="top" wrapText="1"/>
    </xf>
    <xf numFmtId="165" fontId="10" fillId="0" borderId="2" xfId="0" applyNumberFormat="1" applyFont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05603A"/>
      </font>
      <fill>
        <patternFill>
          <bgColor rgb="FFD1FADF"/>
        </patternFill>
      </fill>
    </dxf>
    <dxf>
      <font>
        <b/>
        <color rgb="FF93370D"/>
      </font>
      <fill>
        <patternFill>
          <bgColor rgb="FFFEF0C7"/>
        </patternFill>
      </fill>
    </dxf>
    <dxf>
      <font>
        <b/>
        <color rgb="FF912018"/>
      </font>
      <fill>
        <patternFill>
          <bgColor rgb="FFFEE4E2"/>
        </patternFill>
      </fill>
    </dxf>
    <dxf>
      <font>
        <b/>
        <color rgb="FF667085"/>
      </font>
      <fill>
        <patternFill>
          <bgColor rgb="FFF2F4F7"/>
        </patternFill>
      </fill>
    </dxf>
    <dxf>
      <font>
        <b/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Readiness by domain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'Dashboard'!$D$8</c:f>
              <c:strCache>
                <c:ptCount val="1"/>
                <c:pt idx="0">
                  <c:v>Readiness %</c:v>
                </c:pt>
              </c:strCache>
            </c:strRef>
          </c:tx>
          <c:spPr>
            <a:solidFill>
              <a:srgbClr val="0F7C8C"/>
            </a:solidFill>
          </c:spPr>
          <c:dLbls>
            <c:numFmt formatCode="0%" sourceLinked="0"/>
            <c:showVal val="1"/>
          </c:dLbls>
          <c:cat>
            <c:strRef>
              <c:f>'Dashboard'!$A$9:$A$18</c:f>
              <c:strCache>
                <c:ptCount val="10"/>
                <c:pt idx="0">
                  <c:v>Governance &amp; Scope</c:v>
                </c:pt>
                <c:pt idx="1">
                  <c:v>Threat Modelling &amp; Validation</c:v>
                </c:pt>
                <c:pt idx="2">
                  <c:v>Secure AI Engineering</c:v>
                </c:pt>
                <c:pt idx="3">
                  <c:v>AI Supply Chain</c:v>
                </c:pt>
                <c:pt idx="4">
                  <c:v>Data Protection &amp; Limitation</c:v>
                </c:pt>
                <c:pt idx="5">
                  <c:v>Development Environment Protection</c:v>
                </c:pt>
                <c:pt idx="6">
                  <c:v>Zero Trust &amp; Access</c:v>
                </c:pt>
                <c:pt idx="7">
                  <c:v>Runtime Defences</c:v>
                </c:pt>
                <c:pt idx="8">
                  <c:v>Logging, Monitoring &amp; Response</c:v>
                </c:pt>
                <c:pt idx="9">
                  <c:v>Oversight &amp; Transparency</c:v>
                </c:pt>
              </c:strCache>
            </c:strRef>
          </c:cat>
          <c:val>
            <c:numRef>
              <c:f>'Dashboard'!$D$9:$D$18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4E7EC"/>
              </a:solidFill>
            </a:ln>
          </c:spPr>
        </c:majorGridlines>
        <c:numFmt formatCode="0%" sourceLinked="0"/>
        <c:tickLblPos val="nextTo"/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457200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12E039-2A58-4F97-B181-40851B3BA4C5}">
  <we:reference id="WA200010611" version="1.0.10036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27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5.7109375" customWidth="1"/>
  </cols>
  <sheetData>
    <row r="1" spans="2:3">
      <c r="B1" s="1" t="s">
        <v>0</v>
      </c>
      <c r="C1" s="1" t="s">
        <v>1</v>
      </c>
    </row>
    <row r="2" spans="2:3" ht="32" customHeight="1">
      <c r="B2" s="2" t="s">
        <v>2</v>
      </c>
      <c r="C2" s="2"/>
    </row>
    <row r="3" spans="2:3">
      <c r="B3" s="3" t="s">
        <v>1</v>
      </c>
      <c r="C3" s="4" t="s">
        <v>1</v>
      </c>
    </row>
    <row r="4" spans="2:3">
      <c r="B4" s="5" t="s">
        <v>3</v>
      </c>
      <c r="C4" s="5" t="s">
        <v>1</v>
      </c>
    </row>
    <row r="5" spans="2:3">
      <c r="B5" s="3" t="s">
        <v>4</v>
      </c>
      <c r="C5" s="4" t="s">
        <v>5</v>
      </c>
    </row>
    <row r="6" spans="2:3">
      <c r="B6" s="3" t="s">
        <v>6</v>
      </c>
      <c r="C6" s="4" t="s">
        <v>7</v>
      </c>
    </row>
    <row r="7" spans="2:3">
      <c r="B7" s="3" t="s">
        <v>8</v>
      </c>
      <c r="C7" s="4" t="s">
        <v>9</v>
      </c>
    </row>
    <row r="8" spans="2:3">
      <c r="B8" s="3" t="s">
        <v>10</v>
      </c>
      <c r="C8" s="4" t="s">
        <v>11</v>
      </c>
    </row>
    <row r="9" spans="2:3">
      <c r="B9" s="3" t="s">
        <v>1</v>
      </c>
      <c r="C9" s="4" t="s">
        <v>1</v>
      </c>
    </row>
    <row r="10" spans="2:3">
      <c r="B10" s="5" t="s">
        <v>12</v>
      </c>
      <c r="C10" s="5" t="s">
        <v>1</v>
      </c>
    </row>
    <row r="11" spans="2:3">
      <c r="B11" s="3" t="s">
        <v>13</v>
      </c>
      <c r="C11" s="4" t="s">
        <v>14</v>
      </c>
    </row>
    <row r="12" spans="2:3">
      <c r="B12" s="3" t="s">
        <v>15</v>
      </c>
      <c r="C12" s="4" t="s">
        <v>16</v>
      </c>
    </row>
    <row r="13" spans="2:3">
      <c r="B13" s="3" t="s">
        <v>17</v>
      </c>
      <c r="C13" s="4" t="s">
        <v>18</v>
      </c>
    </row>
    <row r="14" spans="2:3">
      <c r="B14" s="3" t="s">
        <v>19</v>
      </c>
      <c r="C14" s="4" t="s">
        <v>20</v>
      </c>
    </row>
    <row r="15" spans="2:3">
      <c r="B15" s="3" t="s">
        <v>21</v>
      </c>
      <c r="C15" s="4" t="s">
        <v>22</v>
      </c>
    </row>
    <row r="16" spans="2:3">
      <c r="B16" s="3" t="s">
        <v>1</v>
      </c>
      <c r="C16" s="4" t="s">
        <v>1</v>
      </c>
    </row>
    <row r="17" spans="2:3">
      <c r="B17" s="5" t="s">
        <v>23</v>
      </c>
      <c r="C17" s="5" t="s">
        <v>1</v>
      </c>
    </row>
    <row r="18" spans="2:3">
      <c r="B18" s="3" t="s">
        <v>24</v>
      </c>
      <c r="C18" s="4" t="s">
        <v>25</v>
      </c>
    </row>
    <row r="19" spans="2:3">
      <c r="B19" s="3" t="s">
        <v>26</v>
      </c>
      <c r="C19" s="4" t="s">
        <v>27</v>
      </c>
    </row>
    <row r="20" spans="2:3">
      <c r="B20" s="3" t="s">
        <v>28</v>
      </c>
      <c r="C20" s="4" t="s">
        <v>29</v>
      </c>
    </row>
    <row r="21" spans="2:3">
      <c r="B21" s="3" t="s">
        <v>30</v>
      </c>
      <c r="C21" s="4" t="s">
        <v>31</v>
      </c>
    </row>
    <row r="22" spans="2:3">
      <c r="B22" s="3" t="s">
        <v>1</v>
      </c>
      <c r="C22" s="4" t="s">
        <v>1</v>
      </c>
    </row>
    <row r="23" spans="2:3">
      <c r="B23" s="5" t="s">
        <v>32</v>
      </c>
      <c r="C23" s="5" t="s">
        <v>1</v>
      </c>
    </row>
    <row r="24" spans="2:3">
      <c r="B24" s="3" t="s">
        <v>33</v>
      </c>
      <c r="C24" s="4" t="s">
        <v>34</v>
      </c>
    </row>
    <row r="25" spans="2:3">
      <c r="B25" s="3" t="s">
        <v>35</v>
      </c>
      <c r="C25" s="4" t="s">
        <v>36</v>
      </c>
    </row>
    <row r="26" spans="2:3">
      <c r="B26" s="3" t="s">
        <v>37</v>
      </c>
      <c r="C26" s="4" t="s">
        <v>38</v>
      </c>
    </row>
    <row r="27" spans="2:3">
      <c r="B27" s="3" t="s">
        <v>39</v>
      </c>
      <c r="C27" s="4" t="s">
        <v>40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8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20.7109375" customWidth="1"/>
    <col min="3" max="3" width="30.7109375" customWidth="1"/>
    <col min="4" max="4" width="55.7109375" customWidth="1"/>
    <col min="5" max="5" width="18.7109375" customWidth="1"/>
    <col min="6" max="6" width="8.7109375" customWidth="1"/>
    <col min="7" max="7" width="22.7109375" customWidth="1"/>
    <col min="8" max="8" width="8.7109375" customWidth="1"/>
    <col min="9" max="9" width="11.7109375" customWidth="1"/>
    <col min="10" max="10" width="7.7109375" customWidth="1"/>
    <col min="11" max="11" width="13.7109375" customWidth="1"/>
    <col min="12" max="13" width="9.7109375" hidden="1" customWidth="1"/>
    <col min="14" max="14" width="28.7109375" customWidth="1"/>
    <col min="15" max="15" width="32.7109375" customWidth="1"/>
    <col min="16" max="16" width="20.7109375" customWidth="1"/>
  </cols>
  <sheetData>
    <row r="1" spans="1:16">
      <c r="A1" s="1" t="s">
        <v>41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 spans="1:16">
      <c r="A2" s="6" t="s">
        <v>42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</row>
    <row r="3" spans="1:16">
      <c r="A3" s="7" t="s">
        <v>1</v>
      </c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7" t="s">
        <v>1</v>
      </c>
      <c r="P3" s="7" t="s">
        <v>1</v>
      </c>
    </row>
    <row r="4" spans="1:16" ht="36" customHeight="1">
      <c r="A4" s="8" t="s">
        <v>43</v>
      </c>
      <c r="B4" s="8" t="s">
        <v>44</v>
      </c>
      <c r="C4" s="8" t="s">
        <v>45</v>
      </c>
      <c r="D4" s="8" t="s">
        <v>46</v>
      </c>
      <c r="E4" s="8" t="s">
        <v>47</v>
      </c>
      <c r="F4" s="8" t="s">
        <v>30</v>
      </c>
      <c r="G4" s="8" t="s">
        <v>48</v>
      </c>
      <c r="H4" s="8" t="s">
        <v>24</v>
      </c>
      <c r="I4" s="8" t="s">
        <v>49</v>
      </c>
      <c r="J4" s="8" t="s">
        <v>50</v>
      </c>
      <c r="K4" s="8" t="s">
        <v>28</v>
      </c>
      <c r="L4" s="8" t="s">
        <v>51</v>
      </c>
      <c r="M4" s="8" t="s">
        <v>52</v>
      </c>
      <c r="N4" s="8" t="s">
        <v>53</v>
      </c>
      <c r="O4" s="8" t="s">
        <v>54</v>
      </c>
      <c r="P4" s="8" t="s">
        <v>55</v>
      </c>
    </row>
    <row r="5" spans="1:16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  <c r="G5" s="9" t="s">
        <v>62</v>
      </c>
      <c r="H5" s="10">
        <v>3</v>
      </c>
      <c r="I5" s="11" t="s">
        <v>1</v>
      </c>
      <c r="J5" s="10">
        <f>IF(OR(I5="",I5="N/A"),"",MAX(H5-I5,0))</f>
        <v/>
      </c>
      <c r="K5" s="10">
        <f>IF(I5="","Not assessed",IF(I5="N/A","N/A",IF(I5&gt;=H5,"Aligned",IF(I5&gt;=H5-1,"Partial","Gap"))))</f>
        <v/>
      </c>
      <c r="L5" s="10">
        <f>IF(OR(I5="",I5="N/A"),0,MIN(I5,H5))</f>
        <v/>
      </c>
      <c r="M5" s="10">
        <f>IF(I5="N/A",0,H5)</f>
        <v/>
      </c>
      <c r="N5" s="9" t="s">
        <v>58</v>
      </c>
      <c r="O5" s="12" t="s">
        <v>1</v>
      </c>
      <c r="P5" s="9" t="s">
        <v>63</v>
      </c>
    </row>
    <row r="6" spans="1:16">
      <c r="A6" s="9" t="s">
        <v>64</v>
      </c>
      <c r="B6" s="9" t="s">
        <v>57</v>
      </c>
      <c r="C6" s="9" t="s">
        <v>65</v>
      </c>
      <c r="D6" s="9" t="s">
        <v>66</v>
      </c>
      <c r="E6" s="9" t="s">
        <v>60</v>
      </c>
      <c r="F6" s="9" t="s">
        <v>61</v>
      </c>
      <c r="G6" s="9" t="s">
        <v>62</v>
      </c>
      <c r="H6" s="10">
        <v>3</v>
      </c>
      <c r="I6" s="11" t="s">
        <v>1</v>
      </c>
      <c r="J6" s="10">
        <f>IF(OR(I6="",I6="N/A"),"",MAX(H6-I6,0))</f>
        <v/>
      </c>
      <c r="K6" s="10">
        <f>IF(I6="","Not assessed",IF(I6="N/A","N/A",IF(I6&gt;=H6,"Aligned",IF(I6&gt;=H6-1,"Partial","Gap"))))</f>
        <v/>
      </c>
      <c r="L6" s="10">
        <f>IF(OR(I6="",I6="N/A"),0,MIN(I6,H6))</f>
        <v/>
      </c>
      <c r="M6" s="10">
        <f>IF(I6="N/A",0,H6)</f>
        <v/>
      </c>
      <c r="N6" s="9" t="s">
        <v>67</v>
      </c>
      <c r="O6" s="12" t="s">
        <v>1</v>
      </c>
      <c r="P6" s="9" t="s">
        <v>68</v>
      </c>
    </row>
    <row r="7" spans="1:16">
      <c r="A7" s="9" t="s">
        <v>69</v>
      </c>
      <c r="B7" s="9" t="s">
        <v>57</v>
      </c>
      <c r="C7" s="9" t="s">
        <v>70</v>
      </c>
      <c r="D7" s="9" t="s">
        <v>71</v>
      </c>
      <c r="E7" s="9" t="s">
        <v>60</v>
      </c>
      <c r="F7" s="9" t="s">
        <v>61</v>
      </c>
      <c r="G7" s="9" t="s">
        <v>62</v>
      </c>
      <c r="H7" s="10">
        <v>3</v>
      </c>
      <c r="I7" s="11" t="s">
        <v>1</v>
      </c>
      <c r="J7" s="10">
        <f>IF(OR(I7="",I7="N/A"),"",MAX(H7-I7,0))</f>
        <v/>
      </c>
      <c r="K7" s="10">
        <f>IF(I7="","Not assessed",IF(I7="N/A","N/A",IF(I7&gt;=H7,"Aligned",IF(I7&gt;=H7-1,"Partial","Gap"))))</f>
        <v/>
      </c>
      <c r="L7" s="10">
        <f>IF(OR(I7="",I7="N/A"),0,MIN(I7,H7))</f>
        <v/>
      </c>
      <c r="M7" s="10">
        <f>IF(I7="N/A",0,H7)</f>
        <v/>
      </c>
      <c r="N7" s="9" t="s">
        <v>72</v>
      </c>
      <c r="O7" s="12" t="s">
        <v>1</v>
      </c>
      <c r="P7" s="9" t="s">
        <v>73</v>
      </c>
    </row>
    <row r="8" spans="1:16">
      <c r="A8" s="9" t="s">
        <v>74</v>
      </c>
      <c r="B8" s="9" t="s">
        <v>57</v>
      </c>
      <c r="C8" s="9" t="s">
        <v>75</v>
      </c>
      <c r="D8" s="9" t="s">
        <v>76</v>
      </c>
      <c r="E8" s="9" t="s">
        <v>60</v>
      </c>
      <c r="F8" s="9" t="s">
        <v>77</v>
      </c>
      <c r="G8" s="9" t="s">
        <v>62</v>
      </c>
      <c r="H8" s="10">
        <v>3</v>
      </c>
      <c r="I8" s="11" t="s">
        <v>1</v>
      </c>
      <c r="J8" s="10">
        <f>IF(OR(I8="",I8="N/A"),"",MAX(H8-I8,0))</f>
        <v/>
      </c>
      <c r="K8" s="10">
        <f>IF(I8="","Not assessed",IF(I8="N/A","N/A",IF(I8&gt;=H8,"Aligned",IF(I8&gt;=H8-1,"Partial","Gap"))))</f>
        <v/>
      </c>
      <c r="L8" s="10">
        <f>IF(OR(I8="",I8="N/A"),0,MIN(I8,H8))</f>
        <v/>
      </c>
      <c r="M8" s="10">
        <f>IF(I8="N/A",0,H8)</f>
        <v/>
      </c>
      <c r="N8" s="9" t="s">
        <v>78</v>
      </c>
      <c r="O8" s="12" t="s">
        <v>1</v>
      </c>
      <c r="P8" s="9" t="s">
        <v>79</v>
      </c>
    </row>
    <row r="9" spans="1:16">
      <c r="A9" s="9" t="s">
        <v>80</v>
      </c>
      <c r="B9" s="9" t="s">
        <v>57</v>
      </c>
      <c r="C9" s="9" t="s">
        <v>81</v>
      </c>
      <c r="D9" s="9" t="s">
        <v>82</v>
      </c>
      <c r="E9" s="9" t="s">
        <v>60</v>
      </c>
      <c r="F9" s="9" t="s">
        <v>61</v>
      </c>
      <c r="G9" s="9" t="s">
        <v>62</v>
      </c>
      <c r="H9" s="10">
        <v>3</v>
      </c>
      <c r="I9" s="11" t="s">
        <v>1</v>
      </c>
      <c r="J9" s="10">
        <f>IF(OR(I9="",I9="N/A"),"",MAX(H9-I9,0))</f>
        <v/>
      </c>
      <c r="K9" s="10">
        <f>IF(I9="","Not assessed",IF(I9="N/A","N/A",IF(I9&gt;=H9,"Aligned",IF(I9&gt;=H9-1,"Partial","Gap"))))</f>
        <v/>
      </c>
      <c r="L9" s="10">
        <f>IF(OR(I9="",I9="N/A"),0,MIN(I9,H9))</f>
        <v/>
      </c>
      <c r="M9" s="10">
        <f>IF(I9="N/A",0,H9)</f>
        <v/>
      </c>
      <c r="N9" s="9" t="s">
        <v>83</v>
      </c>
      <c r="O9" s="12" t="s">
        <v>1</v>
      </c>
      <c r="P9" s="9" t="s">
        <v>84</v>
      </c>
    </row>
    <row r="10" spans="1:16">
      <c r="A10" s="9" t="s">
        <v>85</v>
      </c>
      <c r="B10" s="9" t="s">
        <v>57</v>
      </c>
      <c r="C10" s="9" t="s">
        <v>86</v>
      </c>
      <c r="D10" s="9" t="s">
        <v>87</v>
      </c>
      <c r="E10" s="9" t="s">
        <v>60</v>
      </c>
      <c r="F10" s="9" t="s">
        <v>61</v>
      </c>
      <c r="G10" s="9" t="s">
        <v>88</v>
      </c>
      <c r="H10" s="10">
        <v>3</v>
      </c>
      <c r="I10" s="11" t="s">
        <v>1</v>
      </c>
      <c r="J10" s="10">
        <f>IF(OR(I10="",I10="N/A"),"",MAX(H10-I10,0))</f>
        <v/>
      </c>
      <c r="K10" s="10">
        <f>IF(I10="","Not assessed",IF(I10="N/A","N/A",IF(I10&gt;=H10,"Aligned",IF(I10&gt;=H10-1,"Partial","Gap"))))</f>
        <v/>
      </c>
      <c r="L10" s="10">
        <f>IF(OR(I10="",I10="N/A"),0,MIN(I10,H10))</f>
        <v/>
      </c>
      <c r="M10" s="10">
        <f>IF(I10="N/A",0,H10)</f>
        <v/>
      </c>
      <c r="N10" s="9" t="s">
        <v>89</v>
      </c>
      <c r="O10" s="12" t="s">
        <v>1</v>
      </c>
      <c r="P10" s="9" t="s">
        <v>73</v>
      </c>
    </row>
    <row r="11" spans="1:16">
      <c r="A11" s="9" t="s">
        <v>90</v>
      </c>
      <c r="B11" s="9" t="s">
        <v>91</v>
      </c>
      <c r="C11" s="9" t="s">
        <v>92</v>
      </c>
      <c r="D11" s="9" t="s">
        <v>93</v>
      </c>
      <c r="E11" s="9" t="s">
        <v>94</v>
      </c>
      <c r="F11" s="9" t="s">
        <v>61</v>
      </c>
      <c r="G11" s="9" t="s">
        <v>62</v>
      </c>
      <c r="H11" s="10">
        <v>3</v>
      </c>
      <c r="I11" s="11" t="s">
        <v>1</v>
      </c>
      <c r="J11" s="10">
        <f>IF(OR(I11="",I11="N/A"),"",MAX(H11-I11,0))</f>
        <v/>
      </c>
      <c r="K11" s="10">
        <f>IF(I11="","Not assessed",IF(I11="N/A","N/A",IF(I11&gt;=H11,"Aligned",IF(I11&gt;=H11-1,"Partial","Gap"))))</f>
        <v/>
      </c>
      <c r="L11" s="10">
        <f>IF(OR(I11="",I11="N/A"),0,MIN(I11,H11))</f>
        <v/>
      </c>
      <c r="M11" s="10">
        <f>IF(I11="N/A",0,H11)</f>
        <v/>
      </c>
      <c r="N11" s="9" t="s">
        <v>95</v>
      </c>
      <c r="O11" s="12" t="s">
        <v>1</v>
      </c>
      <c r="P11" s="9" t="s">
        <v>96</v>
      </c>
    </row>
    <row r="12" spans="1:16">
      <c r="A12" s="9" t="s">
        <v>97</v>
      </c>
      <c r="B12" s="9" t="s">
        <v>91</v>
      </c>
      <c r="C12" s="9" t="s">
        <v>98</v>
      </c>
      <c r="D12" s="9" t="s">
        <v>99</v>
      </c>
      <c r="E12" s="9" t="s">
        <v>100</v>
      </c>
      <c r="F12" s="9" t="s">
        <v>61</v>
      </c>
      <c r="G12" s="9" t="s">
        <v>88</v>
      </c>
      <c r="H12" s="10">
        <v>3</v>
      </c>
      <c r="I12" s="11" t="s">
        <v>1</v>
      </c>
      <c r="J12" s="10">
        <f>IF(OR(I12="",I12="N/A"),"",MAX(H12-I12,0))</f>
        <v/>
      </c>
      <c r="K12" s="10">
        <f>IF(I12="","Not assessed",IF(I12="N/A","N/A",IF(I12&gt;=H12,"Aligned",IF(I12&gt;=H12-1,"Partial","Gap"))))</f>
        <v/>
      </c>
      <c r="L12" s="10">
        <f>IF(OR(I12="",I12="N/A"),0,MIN(I12,H12))</f>
        <v/>
      </c>
      <c r="M12" s="10">
        <f>IF(I12="N/A",0,H12)</f>
        <v/>
      </c>
      <c r="N12" s="9" t="s">
        <v>101</v>
      </c>
      <c r="O12" s="12" t="s">
        <v>1</v>
      </c>
      <c r="P12" s="9" t="s">
        <v>102</v>
      </c>
    </row>
    <row r="13" spans="1:16">
      <c r="A13" s="9" t="s">
        <v>103</v>
      </c>
      <c r="B13" s="9" t="s">
        <v>91</v>
      </c>
      <c r="C13" s="9" t="s">
        <v>104</v>
      </c>
      <c r="D13" s="9" t="s">
        <v>105</v>
      </c>
      <c r="E13" s="9" t="s">
        <v>106</v>
      </c>
      <c r="F13" s="9" t="s">
        <v>77</v>
      </c>
      <c r="G13" s="9" t="s">
        <v>88</v>
      </c>
      <c r="H13" s="10">
        <v>3</v>
      </c>
      <c r="I13" s="11" t="s">
        <v>1</v>
      </c>
      <c r="J13" s="10">
        <f>IF(OR(I13="",I13="N/A"),"",MAX(H13-I13,0))</f>
        <v/>
      </c>
      <c r="K13" s="10">
        <f>IF(I13="","Not assessed",IF(I13="N/A","N/A",IF(I13&gt;=H13,"Aligned",IF(I13&gt;=H13-1,"Partial","Gap"))))</f>
        <v/>
      </c>
      <c r="L13" s="10">
        <f>IF(OR(I13="",I13="N/A"),0,MIN(I13,H13))</f>
        <v/>
      </c>
      <c r="M13" s="10">
        <f>IF(I13="N/A",0,H13)</f>
        <v/>
      </c>
      <c r="N13" s="9" t="s">
        <v>107</v>
      </c>
      <c r="O13" s="12" t="s">
        <v>1</v>
      </c>
      <c r="P13" s="9" t="s">
        <v>108</v>
      </c>
    </row>
    <row r="14" spans="1:16">
      <c r="A14" s="9" t="s">
        <v>109</v>
      </c>
      <c r="B14" s="9" t="s">
        <v>91</v>
      </c>
      <c r="C14" s="9" t="s">
        <v>110</v>
      </c>
      <c r="D14" s="9" t="s">
        <v>111</v>
      </c>
      <c r="E14" s="9" t="s">
        <v>112</v>
      </c>
      <c r="F14" s="9" t="s">
        <v>77</v>
      </c>
      <c r="G14" s="9" t="s">
        <v>88</v>
      </c>
      <c r="H14" s="10">
        <v>3</v>
      </c>
      <c r="I14" s="11" t="s">
        <v>1</v>
      </c>
      <c r="J14" s="10">
        <f>IF(OR(I14="",I14="N/A"),"",MAX(H14-I14,0))</f>
        <v/>
      </c>
      <c r="K14" s="10">
        <f>IF(I14="","Not assessed",IF(I14="N/A","N/A",IF(I14&gt;=H14,"Aligned",IF(I14&gt;=H14-1,"Partial","Gap"))))</f>
        <v/>
      </c>
      <c r="L14" s="10">
        <f>IF(OR(I14="",I14="N/A"),0,MIN(I14,H14))</f>
        <v/>
      </c>
      <c r="M14" s="10">
        <f>IF(I14="N/A",0,H14)</f>
        <v/>
      </c>
      <c r="N14" s="9" t="s">
        <v>113</v>
      </c>
      <c r="O14" s="12" t="s">
        <v>1</v>
      </c>
      <c r="P14" s="9" t="s">
        <v>108</v>
      </c>
    </row>
    <row r="15" spans="1:16">
      <c r="A15" s="9" t="s">
        <v>114</v>
      </c>
      <c r="B15" s="9" t="s">
        <v>91</v>
      </c>
      <c r="C15" s="9" t="s">
        <v>115</v>
      </c>
      <c r="D15" s="9" t="s">
        <v>116</v>
      </c>
      <c r="E15" s="9" t="s">
        <v>117</v>
      </c>
      <c r="F15" s="9" t="s">
        <v>77</v>
      </c>
      <c r="G15" s="9" t="s">
        <v>118</v>
      </c>
      <c r="H15" s="10">
        <v>3</v>
      </c>
      <c r="I15" s="11" t="s">
        <v>1</v>
      </c>
      <c r="J15" s="10">
        <f>IF(OR(I15="",I15="N/A"),"",MAX(H15-I15,0))</f>
        <v/>
      </c>
      <c r="K15" s="10">
        <f>IF(I15="","Not assessed",IF(I15="N/A","N/A",IF(I15&gt;=H15,"Aligned",IF(I15&gt;=H15-1,"Partial","Gap"))))</f>
        <v/>
      </c>
      <c r="L15" s="10">
        <f>IF(OR(I15="",I15="N/A"),0,MIN(I15,H15))</f>
        <v/>
      </c>
      <c r="M15" s="10">
        <f>IF(I15="N/A",0,H15)</f>
        <v/>
      </c>
      <c r="N15" s="9" t="s">
        <v>119</v>
      </c>
      <c r="O15" s="12" t="s">
        <v>1</v>
      </c>
      <c r="P15" s="9" t="s">
        <v>108</v>
      </c>
    </row>
    <row r="16" spans="1:16">
      <c r="A16" s="9" t="s">
        <v>120</v>
      </c>
      <c r="B16" s="9" t="s">
        <v>91</v>
      </c>
      <c r="C16" s="9" t="s">
        <v>121</v>
      </c>
      <c r="D16" s="9" t="s">
        <v>122</v>
      </c>
      <c r="E16" s="9" t="s">
        <v>123</v>
      </c>
      <c r="F16" s="9" t="s">
        <v>124</v>
      </c>
      <c r="G16" s="9" t="s">
        <v>118</v>
      </c>
      <c r="H16" s="10">
        <v>3</v>
      </c>
      <c r="I16" s="11" t="s">
        <v>1</v>
      </c>
      <c r="J16" s="10">
        <f>IF(OR(I16="",I16="N/A"),"",MAX(H16-I16,0))</f>
        <v/>
      </c>
      <c r="K16" s="10">
        <f>IF(I16="","Not assessed",IF(I16="N/A","N/A",IF(I16&gt;=H16,"Aligned",IF(I16&gt;=H16-1,"Partial","Gap"))))</f>
        <v/>
      </c>
      <c r="L16" s="10">
        <f>IF(OR(I16="",I16="N/A"),0,MIN(I16,H16))</f>
        <v/>
      </c>
      <c r="M16" s="10">
        <f>IF(I16="N/A",0,H16)</f>
        <v/>
      </c>
      <c r="N16" s="9" t="s">
        <v>125</v>
      </c>
      <c r="O16" s="12" t="s">
        <v>1</v>
      </c>
      <c r="P16" s="9" t="s">
        <v>126</v>
      </c>
    </row>
    <row r="17" spans="1:16">
      <c r="A17" s="9" t="s">
        <v>127</v>
      </c>
      <c r="B17" s="9" t="s">
        <v>128</v>
      </c>
      <c r="C17" s="9" t="s">
        <v>129</v>
      </c>
      <c r="D17" s="9" t="s">
        <v>130</v>
      </c>
      <c r="E17" s="9" t="s">
        <v>131</v>
      </c>
      <c r="F17" s="9" t="s">
        <v>77</v>
      </c>
      <c r="G17" s="9" t="s">
        <v>132</v>
      </c>
      <c r="H17" s="10">
        <v>3</v>
      </c>
      <c r="I17" s="11" t="s">
        <v>1</v>
      </c>
      <c r="J17" s="10">
        <f>IF(OR(I17="",I17="N/A"),"",MAX(H17-I17,0))</f>
        <v/>
      </c>
      <c r="K17" s="10">
        <f>IF(I17="","Not assessed",IF(I17="N/A","N/A",IF(I17&gt;=H17,"Aligned",IF(I17&gt;=H17-1,"Partial","Gap"))))</f>
        <v/>
      </c>
      <c r="L17" s="10">
        <f>IF(OR(I17="",I17="N/A"),0,MIN(I17,H17))</f>
        <v/>
      </c>
      <c r="M17" s="10">
        <f>IF(I17="N/A",0,H17)</f>
        <v/>
      </c>
      <c r="N17" s="9" t="s">
        <v>133</v>
      </c>
      <c r="O17" s="12" t="s">
        <v>1</v>
      </c>
      <c r="P17" s="9" t="s">
        <v>134</v>
      </c>
    </row>
    <row r="18" spans="1:16">
      <c r="A18" s="9" t="s">
        <v>135</v>
      </c>
      <c r="B18" s="9" t="s">
        <v>128</v>
      </c>
      <c r="C18" s="9" t="s">
        <v>136</v>
      </c>
      <c r="D18" s="9" t="s">
        <v>137</v>
      </c>
      <c r="E18" s="9" t="s">
        <v>138</v>
      </c>
      <c r="F18" s="9" t="s">
        <v>61</v>
      </c>
      <c r="G18" s="9" t="s">
        <v>132</v>
      </c>
      <c r="H18" s="10">
        <v>3</v>
      </c>
      <c r="I18" s="11" t="s">
        <v>1</v>
      </c>
      <c r="J18" s="10">
        <f>IF(OR(I18="",I18="N/A"),"",MAX(H18-I18,0))</f>
        <v/>
      </c>
      <c r="K18" s="10">
        <f>IF(I18="","Not assessed",IF(I18="N/A","N/A",IF(I18&gt;=H18,"Aligned",IF(I18&gt;=H18-1,"Partial","Gap"))))</f>
        <v/>
      </c>
      <c r="L18" s="10">
        <f>IF(OR(I18="",I18="N/A"),0,MIN(I18,H18))</f>
        <v/>
      </c>
      <c r="M18" s="10">
        <f>IF(I18="N/A",0,H18)</f>
        <v/>
      </c>
      <c r="N18" s="9" t="s">
        <v>139</v>
      </c>
      <c r="O18" s="12" t="s">
        <v>1</v>
      </c>
      <c r="P18" s="9" t="s">
        <v>140</v>
      </c>
    </row>
    <row r="19" spans="1:16">
      <c r="A19" s="9" t="s">
        <v>141</v>
      </c>
      <c r="B19" s="9" t="s">
        <v>128</v>
      </c>
      <c r="C19" s="9" t="s">
        <v>142</v>
      </c>
      <c r="D19" s="9" t="s">
        <v>143</v>
      </c>
      <c r="E19" s="9" t="s">
        <v>144</v>
      </c>
      <c r="F19" s="9" t="s">
        <v>77</v>
      </c>
      <c r="G19" s="9" t="s">
        <v>132</v>
      </c>
      <c r="H19" s="10">
        <v>3</v>
      </c>
      <c r="I19" s="11" t="s">
        <v>1</v>
      </c>
      <c r="J19" s="10">
        <f>IF(OR(I19="",I19="N/A"),"",MAX(H19-I19,0))</f>
        <v/>
      </c>
      <c r="K19" s="10">
        <f>IF(I19="","Not assessed",IF(I19="N/A","N/A",IF(I19&gt;=H19,"Aligned",IF(I19&gt;=H19-1,"Partial","Gap"))))</f>
        <v/>
      </c>
      <c r="L19" s="10">
        <f>IF(OR(I19="",I19="N/A"),0,MIN(I19,H19))</f>
        <v/>
      </c>
      <c r="M19" s="10">
        <f>IF(I19="N/A",0,H19)</f>
        <v/>
      </c>
      <c r="N19" s="9" t="s">
        <v>145</v>
      </c>
      <c r="O19" s="12" t="s">
        <v>1</v>
      </c>
      <c r="P19" s="9" t="s">
        <v>108</v>
      </c>
    </row>
    <row r="20" spans="1:16">
      <c r="A20" s="9" t="s">
        <v>146</v>
      </c>
      <c r="B20" s="9" t="s">
        <v>128</v>
      </c>
      <c r="C20" s="9" t="s">
        <v>147</v>
      </c>
      <c r="D20" s="9" t="s">
        <v>148</v>
      </c>
      <c r="E20" s="9" t="s">
        <v>149</v>
      </c>
      <c r="F20" s="9" t="s">
        <v>77</v>
      </c>
      <c r="G20" s="9" t="s">
        <v>132</v>
      </c>
      <c r="H20" s="10">
        <v>3</v>
      </c>
      <c r="I20" s="11" t="s">
        <v>1</v>
      </c>
      <c r="J20" s="10">
        <f>IF(OR(I20="",I20="N/A"),"",MAX(H20-I20,0))</f>
        <v/>
      </c>
      <c r="K20" s="10">
        <f>IF(I20="","Not assessed",IF(I20="N/A","N/A",IF(I20&gt;=H20,"Aligned",IF(I20&gt;=H20-1,"Partial","Gap"))))</f>
        <v/>
      </c>
      <c r="L20" s="10">
        <f>IF(OR(I20="",I20="N/A"),0,MIN(I20,H20))</f>
        <v/>
      </c>
      <c r="M20" s="10">
        <f>IF(I20="N/A",0,H20)</f>
        <v/>
      </c>
      <c r="N20" s="9" t="s">
        <v>150</v>
      </c>
      <c r="O20" s="12" t="s">
        <v>1</v>
      </c>
      <c r="P20" s="9" t="s">
        <v>151</v>
      </c>
    </row>
    <row r="21" spans="1:16">
      <c r="A21" s="9" t="s">
        <v>152</v>
      </c>
      <c r="B21" s="9" t="s">
        <v>153</v>
      </c>
      <c r="C21" s="9" t="s">
        <v>154</v>
      </c>
      <c r="D21" s="9" t="s">
        <v>155</v>
      </c>
      <c r="E21" s="9" t="s">
        <v>156</v>
      </c>
      <c r="F21" s="9" t="s">
        <v>61</v>
      </c>
      <c r="G21" s="9" t="s">
        <v>132</v>
      </c>
      <c r="H21" s="10">
        <v>3</v>
      </c>
      <c r="I21" s="11" t="s">
        <v>1</v>
      </c>
      <c r="J21" s="10">
        <f>IF(OR(I21="",I21="N/A"),"",MAX(H21-I21,0))</f>
        <v/>
      </c>
      <c r="K21" s="10">
        <f>IF(I21="","Not assessed",IF(I21="N/A","N/A",IF(I21&gt;=H21,"Aligned",IF(I21&gt;=H21-1,"Partial","Gap"))))</f>
        <v/>
      </c>
      <c r="L21" s="10">
        <f>IF(OR(I21="",I21="N/A"),0,MIN(I21,H21))</f>
        <v/>
      </c>
      <c r="M21" s="10">
        <f>IF(I21="N/A",0,H21)</f>
        <v/>
      </c>
      <c r="N21" s="9" t="s">
        <v>157</v>
      </c>
      <c r="O21" s="12" t="s">
        <v>1</v>
      </c>
      <c r="P21" s="9" t="s">
        <v>158</v>
      </c>
    </row>
    <row r="22" spans="1:16">
      <c r="A22" s="9" t="s">
        <v>159</v>
      </c>
      <c r="B22" s="9" t="s">
        <v>153</v>
      </c>
      <c r="C22" s="9" t="s">
        <v>160</v>
      </c>
      <c r="D22" s="9" t="s">
        <v>161</v>
      </c>
      <c r="E22" s="9" t="s">
        <v>162</v>
      </c>
      <c r="F22" s="9" t="s">
        <v>61</v>
      </c>
      <c r="G22" s="9" t="s">
        <v>132</v>
      </c>
      <c r="H22" s="10">
        <v>3</v>
      </c>
      <c r="I22" s="11" t="s">
        <v>1</v>
      </c>
      <c r="J22" s="10">
        <f>IF(OR(I22="",I22="N/A"),"",MAX(H22-I22,0))</f>
        <v/>
      </c>
      <c r="K22" s="10">
        <f>IF(I22="","Not assessed",IF(I22="N/A","N/A",IF(I22&gt;=H22,"Aligned",IF(I22&gt;=H22-1,"Partial","Gap"))))</f>
        <v/>
      </c>
      <c r="L22" s="10">
        <f>IF(OR(I22="",I22="N/A"),0,MIN(I22,H22))</f>
        <v/>
      </c>
      <c r="M22" s="10">
        <f>IF(I22="N/A",0,H22)</f>
        <v/>
      </c>
      <c r="N22" s="9" t="s">
        <v>163</v>
      </c>
      <c r="O22" s="12" t="s">
        <v>1</v>
      </c>
      <c r="P22" s="9" t="s">
        <v>151</v>
      </c>
    </row>
    <row r="23" spans="1:16">
      <c r="A23" s="9" t="s">
        <v>164</v>
      </c>
      <c r="B23" s="9" t="s">
        <v>153</v>
      </c>
      <c r="C23" s="9" t="s">
        <v>165</v>
      </c>
      <c r="D23" s="9" t="s">
        <v>166</v>
      </c>
      <c r="E23" s="9" t="s">
        <v>123</v>
      </c>
      <c r="F23" s="9" t="s">
        <v>77</v>
      </c>
      <c r="G23" s="9" t="s">
        <v>132</v>
      </c>
      <c r="H23" s="10">
        <v>3</v>
      </c>
      <c r="I23" s="11" t="s">
        <v>1</v>
      </c>
      <c r="J23" s="10">
        <f>IF(OR(I23="",I23="N/A"),"",MAX(H23-I23,0))</f>
        <v/>
      </c>
      <c r="K23" s="10">
        <f>IF(I23="","Not assessed",IF(I23="N/A","N/A",IF(I23&gt;=H23,"Aligned",IF(I23&gt;=H23-1,"Partial","Gap"))))</f>
        <v/>
      </c>
      <c r="L23" s="10">
        <f>IF(OR(I23="",I23="N/A"),0,MIN(I23,H23))</f>
        <v/>
      </c>
      <c r="M23" s="10">
        <f>IF(I23="N/A",0,H23)</f>
        <v/>
      </c>
      <c r="N23" s="9" t="s">
        <v>167</v>
      </c>
      <c r="O23" s="12" t="s">
        <v>1</v>
      </c>
      <c r="P23" s="9" t="s">
        <v>96</v>
      </c>
    </row>
    <row r="24" spans="1:16">
      <c r="A24" s="9" t="s">
        <v>168</v>
      </c>
      <c r="B24" s="9" t="s">
        <v>153</v>
      </c>
      <c r="C24" s="9" t="s">
        <v>169</v>
      </c>
      <c r="D24" s="9" t="s">
        <v>170</v>
      </c>
      <c r="E24" s="9" t="s">
        <v>171</v>
      </c>
      <c r="F24" s="9" t="s">
        <v>77</v>
      </c>
      <c r="G24" s="9" t="s">
        <v>88</v>
      </c>
      <c r="H24" s="10">
        <v>3</v>
      </c>
      <c r="I24" s="11" t="s">
        <v>1</v>
      </c>
      <c r="J24" s="10">
        <f>IF(OR(I24="",I24="N/A"),"",MAX(H24-I24,0))</f>
        <v/>
      </c>
      <c r="K24" s="10">
        <f>IF(I24="","Not assessed",IF(I24="N/A","N/A",IF(I24&gt;=H24,"Aligned",IF(I24&gt;=H24-1,"Partial","Gap"))))</f>
        <v/>
      </c>
      <c r="L24" s="10">
        <f>IF(OR(I24="",I24="N/A"),0,MIN(I24,H24))</f>
        <v/>
      </c>
      <c r="M24" s="10">
        <f>IF(I24="N/A",0,H24)</f>
        <v/>
      </c>
      <c r="N24" s="9" t="s">
        <v>172</v>
      </c>
      <c r="O24" s="12" t="s">
        <v>1</v>
      </c>
      <c r="P24" s="9" t="s">
        <v>173</v>
      </c>
    </row>
    <row r="25" spans="1:16">
      <c r="A25" s="9" t="s">
        <v>174</v>
      </c>
      <c r="B25" s="9" t="s">
        <v>153</v>
      </c>
      <c r="C25" s="9" t="s">
        <v>175</v>
      </c>
      <c r="D25" s="9" t="s">
        <v>176</v>
      </c>
      <c r="E25" s="9" t="s">
        <v>177</v>
      </c>
      <c r="F25" s="9" t="s">
        <v>77</v>
      </c>
      <c r="G25" s="9" t="s">
        <v>132</v>
      </c>
      <c r="H25" s="10">
        <v>3</v>
      </c>
      <c r="I25" s="11" t="s">
        <v>1</v>
      </c>
      <c r="J25" s="10">
        <f>IF(OR(I25="",I25="N/A"),"",MAX(H25-I25,0))</f>
        <v/>
      </c>
      <c r="K25" s="10">
        <f>IF(I25="","Not assessed",IF(I25="N/A","N/A",IF(I25&gt;=H25,"Aligned",IF(I25&gt;=H25-1,"Partial","Gap"))))</f>
        <v/>
      </c>
      <c r="L25" s="10">
        <f>IF(OR(I25="",I25="N/A"),0,MIN(I25,H25))</f>
        <v/>
      </c>
      <c r="M25" s="10">
        <f>IF(I25="N/A",0,H25)</f>
        <v/>
      </c>
      <c r="N25" s="9" t="s">
        <v>178</v>
      </c>
      <c r="O25" s="12" t="s">
        <v>1</v>
      </c>
      <c r="P25" s="9" t="s">
        <v>151</v>
      </c>
    </row>
    <row r="26" spans="1:16">
      <c r="A26" s="9" t="s">
        <v>179</v>
      </c>
      <c r="B26" s="9" t="s">
        <v>180</v>
      </c>
      <c r="C26" s="9" t="s">
        <v>181</v>
      </c>
      <c r="D26" s="9" t="s">
        <v>182</v>
      </c>
      <c r="E26" s="9" t="s">
        <v>183</v>
      </c>
      <c r="F26" s="9" t="s">
        <v>61</v>
      </c>
      <c r="G26" s="9" t="s">
        <v>132</v>
      </c>
      <c r="H26" s="10">
        <v>3</v>
      </c>
      <c r="I26" s="11" t="s">
        <v>1</v>
      </c>
      <c r="J26" s="10">
        <f>IF(OR(I26="",I26="N/A"),"",MAX(H26-I26,0))</f>
        <v/>
      </c>
      <c r="K26" s="10">
        <f>IF(I26="","Not assessed",IF(I26="N/A","N/A",IF(I26&gt;=H26,"Aligned",IF(I26&gt;=H26-1,"Partial","Gap"))))</f>
        <v/>
      </c>
      <c r="L26" s="10">
        <f>IF(OR(I26="",I26="N/A"),0,MIN(I26,H26))</f>
        <v/>
      </c>
      <c r="M26" s="10">
        <f>IF(I26="N/A",0,H26)</f>
        <v/>
      </c>
      <c r="N26" s="9" t="s">
        <v>184</v>
      </c>
      <c r="O26" s="12" t="s">
        <v>1</v>
      </c>
      <c r="P26" s="9" t="s">
        <v>185</v>
      </c>
    </row>
    <row r="27" spans="1:16">
      <c r="A27" s="9" t="s">
        <v>186</v>
      </c>
      <c r="B27" s="9" t="s">
        <v>180</v>
      </c>
      <c r="C27" s="9" t="s">
        <v>187</v>
      </c>
      <c r="D27" s="9" t="s">
        <v>188</v>
      </c>
      <c r="E27" s="9" t="s">
        <v>189</v>
      </c>
      <c r="F27" s="9" t="s">
        <v>61</v>
      </c>
      <c r="G27" s="9" t="s">
        <v>132</v>
      </c>
      <c r="H27" s="10">
        <v>3</v>
      </c>
      <c r="I27" s="11" t="s">
        <v>1</v>
      </c>
      <c r="J27" s="10">
        <f>IF(OR(I27="",I27="N/A"),"",MAX(H27-I27,0))</f>
        <v/>
      </c>
      <c r="K27" s="10">
        <f>IF(I27="","Not assessed",IF(I27="N/A","N/A",IF(I27&gt;=H27,"Aligned",IF(I27&gt;=H27-1,"Partial","Gap"))))</f>
        <v/>
      </c>
      <c r="L27" s="10">
        <f>IF(OR(I27="",I27="N/A"),0,MIN(I27,H27))</f>
        <v/>
      </c>
      <c r="M27" s="10">
        <f>IF(I27="N/A",0,H27)</f>
        <v/>
      </c>
      <c r="N27" s="9" t="s">
        <v>190</v>
      </c>
      <c r="O27" s="12" t="s">
        <v>1</v>
      </c>
      <c r="P27" s="9" t="s">
        <v>140</v>
      </c>
    </row>
    <row r="28" spans="1:16">
      <c r="A28" s="9" t="s">
        <v>191</v>
      </c>
      <c r="B28" s="9" t="s">
        <v>180</v>
      </c>
      <c r="C28" s="9" t="s">
        <v>192</v>
      </c>
      <c r="D28" s="9" t="s">
        <v>193</v>
      </c>
      <c r="E28" s="9" t="s">
        <v>189</v>
      </c>
      <c r="F28" s="9" t="s">
        <v>77</v>
      </c>
      <c r="G28" s="9" t="s">
        <v>132</v>
      </c>
      <c r="H28" s="10">
        <v>3</v>
      </c>
      <c r="I28" s="11" t="s">
        <v>1</v>
      </c>
      <c r="J28" s="10">
        <f>IF(OR(I28="",I28="N/A"),"",MAX(H28-I28,0))</f>
        <v/>
      </c>
      <c r="K28" s="10">
        <f>IF(I28="","Not assessed",IF(I28="N/A","N/A",IF(I28&gt;=H28,"Aligned",IF(I28&gt;=H28-1,"Partial","Gap"))))</f>
        <v/>
      </c>
      <c r="L28" s="10">
        <f>IF(OR(I28="",I28="N/A"),0,MIN(I28,H28))</f>
        <v/>
      </c>
      <c r="M28" s="10">
        <f>IF(I28="N/A",0,H28)</f>
        <v/>
      </c>
      <c r="N28" s="9" t="s">
        <v>194</v>
      </c>
      <c r="O28" s="12" t="s">
        <v>1</v>
      </c>
      <c r="P28" s="9" t="s">
        <v>108</v>
      </c>
    </row>
    <row r="29" spans="1:16">
      <c r="A29" s="9" t="s">
        <v>195</v>
      </c>
      <c r="B29" s="9" t="s">
        <v>180</v>
      </c>
      <c r="C29" s="9" t="s">
        <v>196</v>
      </c>
      <c r="D29" s="9" t="s">
        <v>197</v>
      </c>
      <c r="E29" s="9" t="s">
        <v>198</v>
      </c>
      <c r="F29" s="9" t="s">
        <v>77</v>
      </c>
      <c r="G29" s="9" t="s">
        <v>132</v>
      </c>
      <c r="H29" s="10">
        <v>3</v>
      </c>
      <c r="I29" s="11" t="s">
        <v>1</v>
      </c>
      <c r="J29" s="10">
        <f>IF(OR(I29="",I29="N/A"),"",MAX(H29-I29,0))</f>
        <v/>
      </c>
      <c r="K29" s="10">
        <f>IF(I29="","Not assessed",IF(I29="N/A","N/A",IF(I29&gt;=H29,"Aligned",IF(I29&gt;=H29-1,"Partial","Gap"))))</f>
        <v/>
      </c>
      <c r="L29" s="10">
        <f>IF(OR(I29="",I29="N/A"),0,MIN(I29,H29))</f>
        <v/>
      </c>
      <c r="M29" s="10">
        <f>IF(I29="N/A",0,H29)</f>
        <v/>
      </c>
      <c r="N29" s="9" t="s">
        <v>199</v>
      </c>
      <c r="O29" s="12" t="s">
        <v>1</v>
      </c>
      <c r="P29" s="9" t="s">
        <v>200</v>
      </c>
    </row>
    <row r="30" spans="1:16">
      <c r="A30" s="9" t="s">
        <v>201</v>
      </c>
      <c r="B30" s="9" t="s">
        <v>180</v>
      </c>
      <c r="C30" s="9" t="s">
        <v>202</v>
      </c>
      <c r="D30" s="9" t="s">
        <v>203</v>
      </c>
      <c r="E30" s="9" t="s">
        <v>204</v>
      </c>
      <c r="F30" s="9" t="s">
        <v>77</v>
      </c>
      <c r="G30" s="9" t="s">
        <v>118</v>
      </c>
      <c r="H30" s="10">
        <v>3</v>
      </c>
      <c r="I30" s="11" t="s">
        <v>1</v>
      </c>
      <c r="J30" s="10">
        <f>IF(OR(I30="",I30="N/A"),"",MAX(H30-I30,0))</f>
        <v/>
      </c>
      <c r="K30" s="10">
        <f>IF(I30="","Not assessed",IF(I30="N/A","N/A",IF(I30&gt;=H30,"Aligned",IF(I30&gt;=H30-1,"Partial","Gap"))))</f>
        <v/>
      </c>
      <c r="L30" s="10">
        <f>IF(OR(I30="",I30="N/A"),0,MIN(I30,H30))</f>
        <v/>
      </c>
      <c r="M30" s="10">
        <f>IF(I30="N/A",0,H30)</f>
        <v/>
      </c>
      <c r="N30" s="9" t="s">
        <v>205</v>
      </c>
      <c r="O30" s="12" t="s">
        <v>1</v>
      </c>
      <c r="P30" s="9" t="s">
        <v>200</v>
      </c>
    </row>
    <row r="31" spans="1:16">
      <c r="A31" s="9" t="s">
        <v>206</v>
      </c>
      <c r="B31" s="9" t="s">
        <v>180</v>
      </c>
      <c r="C31" s="9" t="s">
        <v>207</v>
      </c>
      <c r="D31" s="9" t="s">
        <v>208</v>
      </c>
      <c r="E31" s="9" t="s">
        <v>209</v>
      </c>
      <c r="F31" s="9" t="s">
        <v>124</v>
      </c>
      <c r="G31" s="9" t="s">
        <v>118</v>
      </c>
      <c r="H31" s="10">
        <v>3</v>
      </c>
      <c r="I31" s="11" t="s">
        <v>1</v>
      </c>
      <c r="J31" s="10">
        <f>IF(OR(I31="",I31="N/A"),"",MAX(H31-I31,0))</f>
        <v/>
      </c>
      <c r="K31" s="10">
        <f>IF(I31="","Not assessed",IF(I31="N/A","N/A",IF(I31&gt;=H31,"Aligned",IF(I31&gt;=H31-1,"Partial","Gap"))))</f>
        <v/>
      </c>
      <c r="L31" s="10">
        <f>IF(OR(I31="",I31="N/A"),0,MIN(I31,H31))</f>
        <v/>
      </c>
      <c r="M31" s="10">
        <f>IF(I31="N/A",0,H31)</f>
        <v/>
      </c>
      <c r="N31" s="9" t="s">
        <v>210</v>
      </c>
      <c r="O31" s="12" t="s">
        <v>1</v>
      </c>
      <c r="P31" s="9" t="s">
        <v>200</v>
      </c>
    </row>
    <row r="32" spans="1:16">
      <c r="A32" s="9" t="s">
        <v>211</v>
      </c>
      <c r="B32" s="9" t="s">
        <v>180</v>
      </c>
      <c r="C32" s="9" t="s">
        <v>212</v>
      </c>
      <c r="D32" s="9" t="s">
        <v>213</v>
      </c>
      <c r="E32" s="9" t="s">
        <v>214</v>
      </c>
      <c r="F32" s="9" t="s">
        <v>61</v>
      </c>
      <c r="G32" s="9" t="s">
        <v>215</v>
      </c>
      <c r="H32" s="10">
        <v>3</v>
      </c>
      <c r="I32" s="11" t="s">
        <v>1</v>
      </c>
      <c r="J32" s="10">
        <f>IF(OR(I32="",I32="N/A"),"",MAX(H32-I32,0))</f>
        <v/>
      </c>
      <c r="K32" s="10">
        <f>IF(I32="","Not assessed",IF(I32="N/A","N/A",IF(I32&gt;=H32,"Aligned",IF(I32&gt;=H32-1,"Partial","Gap"))))</f>
        <v/>
      </c>
      <c r="L32" s="10">
        <f>IF(OR(I32="",I32="N/A"),0,MIN(I32,H32))</f>
        <v/>
      </c>
      <c r="M32" s="10">
        <f>IF(I32="N/A",0,H32)</f>
        <v/>
      </c>
      <c r="N32" s="9" t="s">
        <v>216</v>
      </c>
      <c r="O32" s="12" t="s">
        <v>1</v>
      </c>
      <c r="P32" s="9" t="s">
        <v>217</v>
      </c>
    </row>
    <row r="33" spans="1:16">
      <c r="A33" s="9" t="s">
        <v>218</v>
      </c>
      <c r="B33" s="9" t="s">
        <v>180</v>
      </c>
      <c r="C33" s="9" t="s">
        <v>219</v>
      </c>
      <c r="D33" s="9" t="s">
        <v>220</v>
      </c>
      <c r="E33" s="9" t="s">
        <v>221</v>
      </c>
      <c r="F33" s="9" t="s">
        <v>124</v>
      </c>
      <c r="G33" s="9" t="s">
        <v>118</v>
      </c>
      <c r="H33" s="10">
        <v>3</v>
      </c>
      <c r="I33" s="11" t="s">
        <v>1</v>
      </c>
      <c r="J33" s="10">
        <f>IF(OR(I33="",I33="N/A"),"",MAX(H33-I33,0))</f>
        <v/>
      </c>
      <c r="K33" s="10">
        <f>IF(I33="","Not assessed",IF(I33="N/A","N/A",IF(I33&gt;=H33,"Aligned",IF(I33&gt;=H33-1,"Partial","Gap"))))</f>
        <v/>
      </c>
      <c r="L33" s="10">
        <f>IF(OR(I33="",I33="N/A"),0,MIN(I33,H33))</f>
        <v/>
      </c>
      <c r="M33" s="10">
        <f>IF(I33="N/A",0,H33)</f>
        <v/>
      </c>
      <c r="N33" s="9" t="s">
        <v>222</v>
      </c>
      <c r="O33" s="12" t="s">
        <v>1</v>
      </c>
      <c r="P33" s="9" t="s">
        <v>223</v>
      </c>
    </row>
    <row r="34" spans="1:16">
      <c r="A34" s="9" t="s">
        <v>224</v>
      </c>
      <c r="B34" s="9" t="s">
        <v>225</v>
      </c>
      <c r="C34" s="9" t="s">
        <v>226</v>
      </c>
      <c r="D34" s="9" t="s">
        <v>227</v>
      </c>
      <c r="E34" s="9" t="s">
        <v>228</v>
      </c>
      <c r="F34" s="9" t="s">
        <v>61</v>
      </c>
      <c r="G34" s="9" t="s">
        <v>132</v>
      </c>
      <c r="H34" s="10">
        <v>3</v>
      </c>
      <c r="I34" s="11" t="s">
        <v>1</v>
      </c>
      <c r="J34" s="10">
        <f>IF(OR(I34="",I34="N/A"),"",MAX(H34-I34,0))</f>
        <v/>
      </c>
      <c r="K34" s="10">
        <f>IF(I34="","Not assessed",IF(I34="N/A","N/A",IF(I34&gt;=H34,"Aligned",IF(I34&gt;=H34-1,"Partial","Gap"))))</f>
        <v/>
      </c>
      <c r="L34" s="10">
        <f>IF(OR(I34="",I34="N/A"),0,MIN(I34,H34))</f>
        <v/>
      </c>
      <c r="M34" s="10">
        <f>IF(I34="N/A",0,H34)</f>
        <v/>
      </c>
      <c r="N34" s="9" t="s">
        <v>229</v>
      </c>
      <c r="O34" s="12" t="s">
        <v>1</v>
      </c>
      <c r="P34" s="9" t="s">
        <v>230</v>
      </c>
    </row>
    <row r="35" spans="1:16">
      <c r="A35" s="9" t="s">
        <v>231</v>
      </c>
      <c r="B35" s="9" t="s">
        <v>225</v>
      </c>
      <c r="C35" s="9" t="s">
        <v>232</v>
      </c>
      <c r="D35" s="9" t="s">
        <v>233</v>
      </c>
      <c r="E35" s="9" t="s">
        <v>144</v>
      </c>
      <c r="F35" s="9" t="s">
        <v>61</v>
      </c>
      <c r="G35" s="9" t="s">
        <v>132</v>
      </c>
      <c r="H35" s="10">
        <v>3</v>
      </c>
      <c r="I35" s="11" t="s">
        <v>1</v>
      </c>
      <c r="J35" s="10">
        <f>IF(OR(I35="",I35="N/A"),"",MAX(H35-I35,0))</f>
        <v/>
      </c>
      <c r="K35" s="10">
        <f>IF(I35="","Not assessed",IF(I35="N/A","N/A",IF(I35&gt;=H35,"Aligned",IF(I35&gt;=H35-1,"Partial","Gap"))))</f>
        <v/>
      </c>
      <c r="L35" s="10">
        <f>IF(OR(I35="",I35="N/A"),0,MIN(I35,H35))</f>
        <v/>
      </c>
      <c r="M35" s="10">
        <f>IF(I35="N/A",0,H35)</f>
        <v/>
      </c>
      <c r="N35" s="9" t="s">
        <v>234</v>
      </c>
      <c r="O35" s="12" t="s">
        <v>1</v>
      </c>
      <c r="P35" s="9" t="s">
        <v>235</v>
      </c>
    </row>
    <row r="36" spans="1:16">
      <c r="A36" s="9" t="s">
        <v>236</v>
      </c>
      <c r="B36" s="9" t="s">
        <v>225</v>
      </c>
      <c r="C36" s="9" t="s">
        <v>237</v>
      </c>
      <c r="D36" s="9" t="s">
        <v>238</v>
      </c>
      <c r="E36" s="9" t="s">
        <v>239</v>
      </c>
      <c r="F36" s="9" t="s">
        <v>77</v>
      </c>
      <c r="G36" s="9" t="s">
        <v>132</v>
      </c>
      <c r="H36" s="10">
        <v>3</v>
      </c>
      <c r="I36" s="11" t="s">
        <v>1</v>
      </c>
      <c r="J36" s="10">
        <f>IF(OR(I36="",I36="N/A"),"",MAX(H36-I36,0))</f>
        <v/>
      </c>
      <c r="K36" s="10">
        <f>IF(I36="","Not assessed",IF(I36="N/A","N/A",IF(I36&gt;=H36,"Aligned",IF(I36&gt;=H36-1,"Partial","Gap"))))</f>
        <v/>
      </c>
      <c r="L36" s="10">
        <f>IF(OR(I36="",I36="N/A"),0,MIN(I36,H36))</f>
        <v/>
      </c>
      <c r="M36" s="10">
        <f>IF(I36="N/A",0,H36)</f>
        <v/>
      </c>
      <c r="N36" s="9" t="s">
        <v>240</v>
      </c>
      <c r="O36" s="12" t="s">
        <v>1</v>
      </c>
      <c r="P36" s="9" t="s">
        <v>230</v>
      </c>
    </row>
    <row r="37" spans="1:16">
      <c r="A37" s="9" t="s">
        <v>241</v>
      </c>
      <c r="B37" s="9" t="s">
        <v>225</v>
      </c>
      <c r="C37" s="9" t="s">
        <v>242</v>
      </c>
      <c r="D37" s="9" t="s">
        <v>243</v>
      </c>
      <c r="E37" s="9" t="s">
        <v>228</v>
      </c>
      <c r="F37" s="9" t="s">
        <v>77</v>
      </c>
      <c r="G37" s="9" t="s">
        <v>132</v>
      </c>
      <c r="H37" s="10">
        <v>3</v>
      </c>
      <c r="I37" s="11" t="s">
        <v>1</v>
      </c>
      <c r="J37" s="10">
        <f>IF(OR(I37="",I37="N/A"),"",MAX(H37-I37,0))</f>
        <v/>
      </c>
      <c r="K37" s="10">
        <f>IF(I37="","Not assessed",IF(I37="N/A","N/A",IF(I37&gt;=H37,"Aligned",IF(I37&gt;=H37-1,"Partial","Gap"))))</f>
        <v/>
      </c>
      <c r="L37" s="10">
        <f>IF(OR(I37="",I37="N/A"),0,MIN(I37,H37))</f>
        <v/>
      </c>
      <c r="M37" s="10">
        <f>IF(I37="N/A",0,H37)</f>
        <v/>
      </c>
      <c r="N37" s="9" t="s">
        <v>244</v>
      </c>
      <c r="O37" s="12" t="s">
        <v>1</v>
      </c>
      <c r="P37" s="9" t="s">
        <v>245</v>
      </c>
    </row>
    <row r="38" spans="1:16">
      <c r="A38" s="9" t="s">
        <v>246</v>
      </c>
      <c r="B38" s="9" t="s">
        <v>247</v>
      </c>
      <c r="C38" s="9" t="s">
        <v>248</v>
      </c>
      <c r="D38" s="9" t="s">
        <v>249</v>
      </c>
      <c r="E38" s="9" t="s">
        <v>60</v>
      </c>
      <c r="F38" s="9" t="s">
        <v>61</v>
      </c>
      <c r="G38" s="9" t="s">
        <v>215</v>
      </c>
      <c r="H38" s="10">
        <v>3</v>
      </c>
      <c r="I38" s="11" t="s">
        <v>1</v>
      </c>
      <c r="J38" s="10">
        <f>IF(OR(I38="",I38="N/A"),"",MAX(H38-I38,0))</f>
        <v/>
      </c>
      <c r="K38" s="10">
        <f>IF(I38="","Not assessed",IF(I38="N/A","N/A",IF(I38&gt;=H38,"Aligned",IF(I38&gt;=H38-1,"Partial","Gap"))))</f>
        <v/>
      </c>
      <c r="L38" s="10">
        <f>IF(OR(I38="",I38="N/A"),0,MIN(I38,H38))</f>
        <v/>
      </c>
      <c r="M38" s="10">
        <f>IF(I38="N/A",0,H38)</f>
        <v/>
      </c>
      <c r="N38" s="9" t="s">
        <v>250</v>
      </c>
      <c r="O38" s="12" t="s">
        <v>1</v>
      </c>
      <c r="P38" s="9" t="s">
        <v>96</v>
      </c>
    </row>
    <row r="39" spans="1:16">
      <c r="A39" s="9" t="s">
        <v>251</v>
      </c>
      <c r="B39" s="9" t="s">
        <v>247</v>
      </c>
      <c r="C39" s="9" t="s">
        <v>252</v>
      </c>
      <c r="D39" s="9" t="s">
        <v>253</v>
      </c>
      <c r="E39" s="9" t="s">
        <v>254</v>
      </c>
      <c r="F39" s="9" t="s">
        <v>61</v>
      </c>
      <c r="G39" s="9" t="s">
        <v>215</v>
      </c>
      <c r="H39" s="10">
        <v>3</v>
      </c>
      <c r="I39" s="11" t="s">
        <v>1</v>
      </c>
      <c r="J39" s="10">
        <f>IF(OR(I39="",I39="N/A"),"",MAX(H39-I39,0))</f>
        <v/>
      </c>
      <c r="K39" s="10">
        <f>IF(I39="","Not assessed",IF(I39="N/A","N/A",IF(I39&gt;=H39,"Aligned",IF(I39&gt;=H39-1,"Partial","Gap"))))</f>
        <v/>
      </c>
      <c r="L39" s="10">
        <f>IF(OR(I39="",I39="N/A"),0,MIN(I39,H39))</f>
        <v/>
      </c>
      <c r="M39" s="10">
        <f>IF(I39="N/A",0,H39)</f>
        <v/>
      </c>
      <c r="N39" s="9" t="s">
        <v>255</v>
      </c>
      <c r="O39" s="12" t="s">
        <v>1</v>
      </c>
      <c r="P39" s="9" t="s">
        <v>235</v>
      </c>
    </row>
    <row r="40" spans="1:16">
      <c r="A40" s="9" t="s">
        <v>256</v>
      </c>
      <c r="B40" s="9" t="s">
        <v>247</v>
      </c>
      <c r="C40" s="9" t="s">
        <v>257</v>
      </c>
      <c r="D40" s="9" t="s">
        <v>258</v>
      </c>
      <c r="E40" s="9" t="s">
        <v>259</v>
      </c>
      <c r="F40" s="9" t="s">
        <v>61</v>
      </c>
      <c r="G40" s="9" t="s">
        <v>215</v>
      </c>
      <c r="H40" s="10">
        <v>3</v>
      </c>
      <c r="I40" s="11" t="s">
        <v>1</v>
      </c>
      <c r="J40" s="10">
        <f>IF(OR(I40="",I40="N/A"),"",MAX(H40-I40,0))</f>
        <v/>
      </c>
      <c r="K40" s="10">
        <f>IF(I40="","Not assessed",IF(I40="N/A","N/A",IF(I40&gt;=H40,"Aligned",IF(I40&gt;=H40-1,"Partial","Gap"))))</f>
        <v/>
      </c>
      <c r="L40" s="10">
        <f>IF(OR(I40="",I40="N/A"),0,MIN(I40,H40))</f>
        <v/>
      </c>
      <c r="M40" s="10">
        <f>IF(I40="N/A",0,H40)</f>
        <v/>
      </c>
      <c r="N40" s="9" t="s">
        <v>260</v>
      </c>
      <c r="O40" s="12" t="s">
        <v>1</v>
      </c>
      <c r="P40" s="9" t="s">
        <v>230</v>
      </c>
    </row>
    <row r="41" spans="1:16">
      <c r="A41" s="9" t="s">
        <v>261</v>
      </c>
      <c r="B41" s="9" t="s">
        <v>247</v>
      </c>
      <c r="C41" s="9" t="s">
        <v>262</v>
      </c>
      <c r="D41" s="9" t="s">
        <v>263</v>
      </c>
      <c r="E41" s="9" t="s">
        <v>264</v>
      </c>
      <c r="F41" s="9" t="s">
        <v>61</v>
      </c>
      <c r="G41" s="9" t="s">
        <v>215</v>
      </c>
      <c r="H41" s="10">
        <v>3</v>
      </c>
      <c r="I41" s="11" t="s">
        <v>1</v>
      </c>
      <c r="J41" s="10">
        <f>IF(OR(I41="",I41="N/A"),"",MAX(H41-I41,0))</f>
        <v/>
      </c>
      <c r="K41" s="10">
        <f>IF(I41="","Not assessed",IF(I41="N/A","N/A",IF(I41&gt;=H41,"Aligned",IF(I41&gt;=H41-1,"Partial","Gap"))))</f>
        <v/>
      </c>
      <c r="L41" s="10">
        <f>IF(OR(I41="",I41="N/A"),0,MIN(I41,H41))</f>
        <v/>
      </c>
      <c r="M41" s="10">
        <f>IF(I41="N/A",0,H41)</f>
        <v/>
      </c>
      <c r="N41" s="9" t="s">
        <v>265</v>
      </c>
      <c r="O41" s="12" t="s">
        <v>1</v>
      </c>
      <c r="P41" s="9" t="s">
        <v>235</v>
      </c>
    </row>
    <row r="42" spans="1:16">
      <c r="A42" s="9" t="s">
        <v>266</v>
      </c>
      <c r="B42" s="9" t="s">
        <v>267</v>
      </c>
      <c r="C42" s="9" t="s">
        <v>268</v>
      </c>
      <c r="D42" s="9" t="s">
        <v>269</v>
      </c>
      <c r="E42" s="9" t="s">
        <v>270</v>
      </c>
      <c r="F42" s="9" t="s">
        <v>61</v>
      </c>
      <c r="G42" s="9" t="s">
        <v>215</v>
      </c>
      <c r="H42" s="10">
        <v>3</v>
      </c>
      <c r="I42" s="11" t="s">
        <v>1</v>
      </c>
      <c r="J42" s="10">
        <f>IF(OR(I42="",I42="N/A"),"",MAX(H42-I42,0))</f>
        <v/>
      </c>
      <c r="K42" s="10">
        <f>IF(I42="","Not assessed",IF(I42="N/A","N/A",IF(I42&gt;=H42,"Aligned",IF(I42&gt;=H42-1,"Partial","Gap"))))</f>
        <v/>
      </c>
      <c r="L42" s="10">
        <f>IF(OR(I42="",I42="N/A"),0,MIN(I42,H42))</f>
        <v/>
      </c>
      <c r="M42" s="10">
        <f>IF(I42="N/A",0,H42)</f>
        <v/>
      </c>
      <c r="N42" s="9" t="s">
        <v>271</v>
      </c>
      <c r="O42" s="12" t="s">
        <v>1</v>
      </c>
      <c r="P42" s="9" t="s">
        <v>217</v>
      </c>
    </row>
    <row r="43" spans="1:16">
      <c r="A43" s="9" t="s">
        <v>272</v>
      </c>
      <c r="B43" s="9" t="s">
        <v>267</v>
      </c>
      <c r="C43" s="9" t="s">
        <v>273</v>
      </c>
      <c r="D43" s="9" t="s">
        <v>274</v>
      </c>
      <c r="E43" s="9" t="s">
        <v>275</v>
      </c>
      <c r="F43" s="9" t="s">
        <v>61</v>
      </c>
      <c r="G43" s="9" t="s">
        <v>215</v>
      </c>
      <c r="H43" s="10">
        <v>3</v>
      </c>
      <c r="I43" s="11" t="s">
        <v>1</v>
      </c>
      <c r="J43" s="10">
        <f>IF(OR(I43="",I43="N/A"),"",MAX(H43-I43,0))</f>
        <v/>
      </c>
      <c r="K43" s="10">
        <f>IF(I43="","Not assessed",IF(I43="N/A","N/A",IF(I43&gt;=H43,"Aligned",IF(I43&gt;=H43-1,"Partial","Gap"))))</f>
        <v/>
      </c>
      <c r="L43" s="10">
        <f>IF(OR(I43="",I43="N/A"),0,MIN(I43,H43))</f>
        <v/>
      </c>
      <c r="M43" s="10">
        <f>IF(I43="N/A",0,H43)</f>
        <v/>
      </c>
      <c r="N43" s="9" t="s">
        <v>276</v>
      </c>
      <c r="O43" s="12" t="s">
        <v>1</v>
      </c>
      <c r="P43" s="9" t="s">
        <v>217</v>
      </c>
    </row>
    <row r="44" spans="1:16">
      <c r="A44" s="9" t="s">
        <v>277</v>
      </c>
      <c r="B44" s="9" t="s">
        <v>267</v>
      </c>
      <c r="C44" s="9" t="s">
        <v>278</v>
      </c>
      <c r="D44" s="9" t="s">
        <v>279</v>
      </c>
      <c r="E44" s="9" t="s">
        <v>280</v>
      </c>
      <c r="F44" s="9" t="s">
        <v>61</v>
      </c>
      <c r="G44" s="9" t="s">
        <v>215</v>
      </c>
      <c r="H44" s="10">
        <v>3</v>
      </c>
      <c r="I44" s="11" t="s">
        <v>1</v>
      </c>
      <c r="J44" s="10">
        <f>IF(OR(I44="",I44="N/A"),"",MAX(H44-I44,0))</f>
        <v/>
      </c>
      <c r="K44" s="10">
        <f>IF(I44="","Not assessed",IF(I44="N/A","N/A",IF(I44&gt;=H44,"Aligned",IF(I44&gt;=H44-1,"Partial","Gap"))))</f>
        <v/>
      </c>
      <c r="L44" s="10">
        <f>IF(OR(I44="",I44="N/A"),0,MIN(I44,H44))</f>
        <v/>
      </c>
      <c r="M44" s="10">
        <f>IF(I44="N/A",0,H44)</f>
        <v/>
      </c>
      <c r="N44" s="9" t="s">
        <v>281</v>
      </c>
      <c r="O44" s="12" t="s">
        <v>1</v>
      </c>
      <c r="P44" s="9" t="s">
        <v>134</v>
      </c>
    </row>
    <row r="45" spans="1:16">
      <c r="A45" s="9" t="s">
        <v>282</v>
      </c>
      <c r="B45" s="9" t="s">
        <v>267</v>
      </c>
      <c r="C45" s="9" t="s">
        <v>283</v>
      </c>
      <c r="D45" s="9" t="s">
        <v>284</v>
      </c>
      <c r="E45" s="9" t="s">
        <v>285</v>
      </c>
      <c r="F45" s="9" t="s">
        <v>61</v>
      </c>
      <c r="G45" s="9" t="s">
        <v>215</v>
      </c>
      <c r="H45" s="10">
        <v>3</v>
      </c>
      <c r="I45" s="11" t="s">
        <v>1</v>
      </c>
      <c r="J45" s="10">
        <f>IF(OR(I45="",I45="N/A"),"",MAX(H45-I45,0))</f>
        <v/>
      </c>
      <c r="K45" s="10">
        <f>IF(I45="","Not assessed",IF(I45="N/A","N/A",IF(I45&gt;=H45,"Aligned",IF(I45&gt;=H45-1,"Partial","Gap"))))</f>
        <v/>
      </c>
      <c r="L45" s="10">
        <f>IF(OR(I45="",I45="N/A"),0,MIN(I45,H45))</f>
        <v/>
      </c>
      <c r="M45" s="10">
        <f>IF(I45="N/A",0,H45)</f>
        <v/>
      </c>
      <c r="N45" s="9" t="s">
        <v>286</v>
      </c>
      <c r="O45" s="12" t="s">
        <v>1</v>
      </c>
      <c r="P45" s="9" t="s">
        <v>200</v>
      </c>
    </row>
    <row r="46" spans="1:16">
      <c r="A46" s="9" t="s">
        <v>287</v>
      </c>
      <c r="B46" s="9" t="s">
        <v>267</v>
      </c>
      <c r="C46" s="9" t="s">
        <v>288</v>
      </c>
      <c r="D46" s="9" t="s">
        <v>289</v>
      </c>
      <c r="E46" s="9" t="s">
        <v>290</v>
      </c>
      <c r="F46" s="9" t="s">
        <v>61</v>
      </c>
      <c r="G46" s="9" t="s">
        <v>215</v>
      </c>
      <c r="H46" s="10">
        <v>3</v>
      </c>
      <c r="I46" s="11" t="s">
        <v>1</v>
      </c>
      <c r="J46" s="10">
        <f>IF(OR(I46="",I46="N/A"),"",MAX(H46-I46,0))</f>
        <v/>
      </c>
      <c r="K46" s="10">
        <f>IF(I46="","Not assessed",IF(I46="N/A","N/A",IF(I46&gt;=H46,"Aligned",IF(I46&gt;=H46-1,"Partial","Gap"))))</f>
        <v/>
      </c>
      <c r="L46" s="10">
        <f>IF(OR(I46="",I46="N/A"),0,MIN(I46,H46))</f>
        <v/>
      </c>
      <c r="M46" s="10">
        <f>IF(I46="N/A",0,H46)</f>
        <v/>
      </c>
      <c r="N46" s="9" t="s">
        <v>291</v>
      </c>
      <c r="O46" s="12" t="s">
        <v>1</v>
      </c>
      <c r="P46" s="9" t="s">
        <v>151</v>
      </c>
    </row>
    <row r="47" spans="1:16">
      <c r="A47" s="9" t="s">
        <v>292</v>
      </c>
      <c r="B47" s="9" t="s">
        <v>267</v>
      </c>
      <c r="C47" s="9" t="s">
        <v>293</v>
      </c>
      <c r="D47" s="9" t="s">
        <v>294</v>
      </c>
      <c r="E47" s="9" t="s">
        <v>295</v>
      </c>
      <c r="F47" s="9" t="s">
        <v>77</v>
      </c>
      <c r="G47" s="9" t="s">
        <v>215</v>
      </c>
      <c r="H47" s="10">
        <v>3</v>
      </c>
      <c r="I47" s="11" t="s">
        <v>1</v>
      </c>
      <c r="J47" s="10">
        <f>IF(OR(I47="",I47="N/A"),"",MAX(H47-I47,0))</f>
        <v/>
      </c>
      <c r="K47" s="10">
        <f>IF(I47="","Not assessed",IF(I47="N/A","N/A",IF(I47&gt;=H47,"Aligned",IF(I47&gt;=H47-1,"Partial","Gap"))))</f>
        <v/>
      </c>
      <c r="L47" s="10">
        <f>IF(OR(I47="",I47="N/A"),0,MIN(I47,H47))</f>
        <v/>
      </c>
      <c r="M47" s="10">
        <f>IF(I47="N/A",0,H47)</f>
        <v/>
      </c>
      <c r="N47" s="9" t="s">
        <v>296</v>
      </c>
      <c r="O47" s="12" t="s">
        <v>1</v>
      </c>
      <c r="P47" s="9" t="s">
        <v>217</v>
      </c>
    </row>
    <row r="48" spans="1:16">
      <c r="A48" s="9" t="s">
        <v>297</v>
      </c>
      <c r="B48" s="9" t="s">
        <v>267</v>
      </c>
      <c r="C48" s="9" t="s">
        <v>298</v>
      </c>
      <c r="D48" s="9" t="s">
        <v>299</v>
      </c>
      <c r="E48" s="9" t="s">
        <v>221</v>
      </c>
      <c r="F48" s="9" t="s">
        <v>77</v>
      </c>
      <c r="G48" s="9" t="s">
        <v>215</v>
      </c>
      <c r="H48" s="10">
        <v>3</v>
      </c>
      <c r="I48" s="11" t="s">
        <v>1</v>
      </c>
      <c r="J48" s="10">
        <f>IF(OR(I48="",I48="N/A"),"",MAX(H48-I48,0))</f>
        <v/>
      </c>
      <c r="K48" s="10">
        <f>IF(I48="","Not assessed",IF(I48="N/A","N/A",IF(I48&gt;=H48,"Aligned",IF(I48&gt;=H48-1,"Partial","Gap"))))</f>
        <v/>
      </c>
      <c r="L48" s="10">
        <f>IF(OR(I48="",I48="N/A"),0,MIN(I48,H48))</f>
        <v/>
      </c>
      <c r="M48" s="10">
        <f>IF(I48="N/A",0,H48)</f>
        <v/>
      </c>
      <c r="N48" s="9" t="s">
        <v>300</v>
      </c>
      <c r="O48" s="12" t="s">
        <v>1</v>
      </c>
      <c r="P48" s="9" t="s">
        <v>108</v>
      </c>
    </row>
    <row r="49" spans="1:16">
      <c r="A49" s="9" t="s">
        <v>301</v>
      </c>
      <c r="B49" s="9" t="s">
        <v>267</v>
      </c>
      <c r="C49" s="9" t="s">
        <v>302</v>
      </c>
      <c r="D49" s="9" t="s">
        <v>303</v>
      </c>
      <c r="E49" s="9" t="s">
        <v>304</v>
      </c>
      <c r="F49" s="9" t="s">
        <v>124</v>
      </c>
      <c r="G49" s="9" t="s">
        <v>118</v>
      </c>
      <c r="H49" s="10">
        <v>3</v>
      </c>
      <c r="I49" s="11" t="s">
        <v>1</v>
      </c>
      <c r="J49" s="10">
        <f>IF(OR(I49="",I49="N/A"),"",MAX(H49-I49,0))</f>
        <v/>
      </c>
      <c r="K49" s="10">
        <f>IF(I49="","Not assessed",IF(I49="N/A","N/A",IF(I49&gt;=H49,"Aligned",IF(I49&gt;=H49-1,"Partial","Gap"))))</f>
        <v/>
      </c>
      <c r="L49" s="10">
        <f>IF(OR(I49="",I49="N/A"),0,MIN(I49,H49))</f>
        <v/>
      </c>
      <c r="M49" s="10">
        <f>IF(I49="N/A",0,H49)</f>
        <v/>
      </c>
      <c r="N49" s="9" t="s">
        <v>305</v>
      </c>
      <c r="O49" s="12" t="s">
        <v>1</v>
      </c>
      <c r="P49" s="9" t="s">
        <v>108</v>
      </c>
    </row>
    <row r="50" spans="1:16">
      <c r="A50" s="9" t="s">
        <v>306</v>
      </c>
      <c r="B50" s="9" t="s">
        <v>267</v>
      </c>
      <c r="C50" s="9" t="s">
        <v>307</v>
      </c>
      <c r="D50" s="9" t="s">
        <v>308</v>
      </c>
      <c r="E50" s="9" t="s">
        <v>309</v>
      </c>
      <c r="F50" s="9" t="s">
        <v>77</v>
      </c>
      <c r="G50" s="9" t="s">
        <v>215</v>
      </c>
      <c r="H50" s="10">
        <v>3</v>
      </c>
      <c r="I50" s="11" t="s">
        <v>1</v>
      </c>
      <c r="J50" s="10">
        <f>IF(OR(I50="",I50="N/A"),"",MAX(H50-I50,0))</f>
        <v/>
      </c>
      <c r="K50" s="10">
        <f>IF(I50="","Not assessed",IF(I50="N/A","N/A",IF(I50&gt;=H50,"Aligned",IF(I50&gt;=H50-1,"Partial","Gap"))))</f>
        <v/>
      </c>
      <c r="L50" s="10">
        <f>IF(OR(I50="",I50="N/A"),0,MIN(I50,H50))</f>
        <v/>
      </c>
      <c r="M50" s="10">
        <f>IF(I50="N/A",0,H50)</f>
        <v/>
      </c>
      <c r="N50" s="9" t="s">
        <v>310</v>
      </c>
      <c r="O50" s="12" t="s">
        <v>1</v>
      </c>
      <c r="P50" s="9" t="s">
        <v>151</v>
      </c>
    </row>
    <row r="51" spans="1:16">
      <c r="A51" s="9" t="s">
        <v>311</v>
      </c>
      <c r="B51" s="9" t="s">
        <v>267</v>
      </c>
      <c r="C51" s="9" t="s">
        <v>312</v>
      </c>
      <c r="D51" s="9" t="s">
        <v>313</v>
      </c>
      <c r="E51" s="9" t="s">
        <v>314</v>
      </c>
      <c r="F51" s="9" t="s">
        <v>124</v>
      </c>
      <c r="G51" s="9" t="s">
        <v>118</v>
      </c>
      <c r="H51" s="10">
        <v>3</v>
      </c>
      <c r="I51" s="11" t="s">
        <v>1</v>
      </c>
      <c r="J51" s="10">
        <f>IF(OR(I51="",I51="N/A"),"",MAX(H51-I51,0))</f>
        <v/>
      </c>
      <c r="K51" s="10">
        <f>IF(I51="","Not assessed",IF(I51="N/A","N/A",IF(I51&gt;=H51,"Aligned",IF(I51&gt;=H51-1,"Partial","Gap"))))</f>
        <v/>
      </c>
      <c r="L51" s="10">
        <f>IF(OR(I51="",I51="N/A"),0,MIN(I51,H51))</f>
        <v/>
      </c>
      <c r="M51" s="10">
        <f>IF(I51="N/A",0,H51)</f>
        <v/>
      </c>
      <c r="N51" s="9" t="s">
        <v>315</v>
      </c>
      <c r="O51" s="12" t="s">
        <v>1</v>
      </c>
      <c r="P51" s="9" t="s">
        <v>108</v>
      </c>
    </row>
    <row r="52" spans="1:16">
      <c r="A52" s="9" t="s">
        <v>316</v>
      </c>
      <c r="B52" s="9" t="s">
        <v>267</v>
      </c>
      <c r="C52" s="9" t="s">
        <v>317</v>
      </c>
      <c r="D52" s="9" t="s">
        <v>318</v>
      </c>
      <c r="E52" s="9" t="s">
        <v>189</v>
      </c>
      <c r="F52" s="9" t="s">
        <v>77</v>
      </c>
      <c r="G52" s="9" t="s">
        <v>118</v>
      </c>
      <c r="H52" s="10">
        <v>3</v>
      </c>
      <c r="I52" s="11" t="s">
        <v>1</v>
      </c>
      <c r="J52" s="10">
        <f>IF(OR(I52="",I52="N/A"),"",MAX(H52-I52,0))</f>
        <v/>
      </c>
      <c r="K52" s="10">
        <f>IF(I52="","Not assessed",IF(I52="N/A","N/A",IF(I52&gt;=H52,"Aligned",IF(I52&gt;=H52-1,"Partial","Gap"))))</f>
        <v/>
      </c>
      <c r="L52" s="10">
        <f>IF(OR(I52="",I52="N/A"),0,MIN(I52,H52))</f>
        <v/>
      </c>
      <c r="M52" s="10">
        <f>IF(I52="N/A",0,H52)</f>
        <v/>
      </c>
      <c r="N52" s="9" t="s">
        <v>319</v>
      </c>
      <c r="O52" s="12" t="s">
        <v>1</v>
      </c>
      <c r="P52" s="9" t="s">
        <v>108</v>
      </c>
    </row>
    <row r="53" spans="1:16">
      <c r="A53" s="9" t="s">
        <v>320</v>
      </c>
      <c r="B53" s="9" t="s">
        <v>321</v>
      </c>
      <c r="C53" s="9" t="s">
        <v>322</v>
      </c>
      <c r="D53" s="9" t="s">
        <v>323</v>
      </c>
      <c r="E53" s="9" t="s">
        <v>60</v>
      </c>
      <c r="F53" s="9" t="s">
        <v>61</v>
      </c>
      <c r="G53" s="9" t="s">
        <v>62</v>
      </c>
      <c r="H53" s="10">
        <v>3</v>
      </c>
      <c r="I53" s="11" t="s">
        <v>1</v>
      </c>
      <c r="J53" s="10">
        <f>IF(OR(I53="",I53="N/A"),"",MAX(H53-I53,0))</f>
        <v/>
      </c>
      <c r="K53" s="10">
        <f>IF(I53="","Not assessed",IF(I53="N/A","N/A",IF(I53&gt;=H53,"Aligned",IF(I53&gt;=H53-1,"Partial","Gap"))))</f>
        <v/>
      </c>
      <c r="L53" s="10">
        <f>IF(OR(I53="",I53="N/A"),0,MIN(I53,H53))</f>
        <v/>
      </c>
      <c r="M53" s="10">
        <f>IF(I53="N/A",0,H53)</f>
        <v/>
      </c>
      <c r="N53" s="9" t="s">
        <v>324</v>
      </c>
      <c r="O53" s="12" t="s">
        <v>1</v>
      </c>
      <c r="P53" s="9" t="s">
        <v>245</v>
      </c>
    </row>
    <row r="54" spans="1:16">
      <c r="A54" s="9" t="s">
        <v>325</v>
      </c>
      <c r="B54" s="9" t="s">
        <v>321</v>
      </c>
      <c r="C54" s="9" t="s">
        <v>326</v>
      </c>
      <c r="D54" s="9" t="s">
        <v>327</v>
      </c>
      <c r="E54" s="9" t="s">
        <v>328</v>
      </c>
      <c r="F54" s="9" t="s">
        <v>61</v>
      </c>
      <c r="G54" s="9" t="s">
        <v>215</v>
      </c>
      <c r="H54" s="10">
        <v>3</v>
      </c>
      <c r="I54" s="11" t="s">
        <v>1</v>
      </c>
      <c r="J54" s="10">
        <f>IF(OR(I54="",I54="N/A"),"",MAX(H54-I54,0))</f>
        <v/>
      </c>
      <c r="K54" s="10">
        <f>IF(I54="","Not assessed",IF(I54="N/A","N/A",IF(I54&gt;=H54,"Aligned",IF(I54&gt;=H54-1,"Partial","Gap"))))</f>
        <v/>
      </c>
      <c r="L54" s="10">
        <f>IF(OR(I54="",I54="N/A"),0,MIN(I54,H54))</f>
        <v/>
      </c>
      <c r="M54" s="10">
        <f>IF(I54="N/A",0,H54)</f>
        <v/>
      </c>
      <c r="N54" s="9" t="s">
        <v>329</v>
      </c>
      <c r="O54" s="12" t="s">
        <v>1</v>
      </c>
      <c r="P54" s="9" t="s">
        <v>245</v>
      </c>
    </row>
    <row r="55" spans="1:16">
      <c r="A55" s="9" t="s">
        <v>330</v>
      </c>
      <c r="B55" s="9" t="s">
        <v>321</v>
      </c>
      <c r="C55" s="9" t="s">
        <v>331</v>
      </c>
      <c r="D55" s="9" t="s">
        <v>332</v>
      </c>
      <c r="E55" s="9" t="s">
        <v>333</v>
      </c>
      <c r="F55" s="9" t="s">
        <v>77</v>
      </c>
      <c r="G55" s="9" t="s">
        <v>215</v>
      </c>
      <c r="H55" s="10">
        <v>3</v>
      </c>
      <c r="I55" s="11" t="s">
        <v>1</v>
      </c>
      <c r="J55" s="10">
        <f>IF(OR(I55="",I55="N/A"),"",MAX(H55-I55,0))</f>
        <v/>
      </c>
      <c r="K55" s="10">
        <f>IF(I55="","Not assessed",IF(I55="N/A","N/A",IF(I55&gt;=H55,"Aligned",IF(I55&gt;=H55-1,"Partial","Gap"))))</f>
        <v/>
      </c>
      <c r="L55" s="10">
        <f>IF(OR(I55="",I55="N/A"),0,MIN(I55,H55))</f>
        <v/>
      </c>
      <c r="M55" s="10">
        <f>IF(I55="N/A",0,H55)</f>
        <v/>
      </c>
      <c r="N55" s="9" t="s">
        <v>334</v>
      </c>
      <c r="O55" s="12" t="s">
        <v>1</v>
      </c>
      <c r="P55" s="9" t="s">
        <v>245</v>
      </c>
    </row>
    <row r="56" spans="1:16">
      <c r="A56" s="9" t="s">
        <v>335</v>
      </c>
      <c r="B56" s="9" t="s">
        <v>321</v>
      </c>
      <c r="C56" s="9" t="s">
        <v>336</v>
      </c>
      <c r="D56" s="9" t="s">
        <v>337</v>
      </c>
      <c r="E56" s="9" t="s">
        <v>60</v>
      </c>
      <c r="F56" s="9" t="s">
        <v>61</v>
      </c>
      <c r="G56" s="9" t="s">
        <v>88</v>
      </c>
      <c r="H56" s="10">
        <v>3</v>
      </c>
      <c r="I56" s="11" t="s">
        <v>1</v>
      </c>
      <c r="J56" s="10">
        <f>IF(OR(I56="",I56="N/A"),"",MAX(H56-I56,0))</f>
        <v/>
      </c>
      <c r="K56" s="10">
        <f>IF(I56="","Not assessed",IF(I56="N/A","N/A",IF(I56&gt;=H56,"Aligned",IF(I56&gt;=H56-1,"Partial","Gap"))))</f>
        <v/>
      </c>
      <c r="L56" s="10">
        <f>IF(OR(I56="",I56="N/A"),0,MIN(I56,H56))</f>
        <v/>
      </c>
      <c r="M56" s="10">
        <f>IF(I56="N/A",0,H56)</f>
        <v/>
      </c>
      <c r="N56" s="9" t="s">
        <v>338</v>
      </c>
      <c r="O56" s="12" t="s">
        <v>1</v>
      </c>
      <c r="P56" s="9" t="s">
        <v>339</v>
      </c>
    </row>
    <row r="57" spans="1:16">
      <c r="A57" s="9" t="s">
        <v>340</v>
      </c>
      <c r="B57" s="9" t="s">
        <v>341</v>
      </c>
      <c r="C57" s="9" t="s">
        <v>342</v>
      </c>
      <c r="D57" s="9" t="s">
        <v>343</v>
      </c>
      <c r="E57" s="9" t="s">
        <v>344</v>
      </c>
      <c r="F57" s="9" t="s">
        <v>77</v>
      </c>
      <c r="G57" s="9" t="s">
        <v>215</v>
      </c>
      <c r="H57" s="10">
        <v>3</v>
      </c>
      <c r="I57" s="11" t="s">
        <v>1</v>
      </c>
      <c r="J57" s="10">
        <f>IF(OR(I57="",I57="N/A"),"",MAX(H57-I57,0))</f>
        <v/>
      </c>
      <c r="K57" s="10">
        <f>IF(I57="","Not assessed",IF(I57="N/A","N/A",IF(I57&gt;=H57,"Aligned",IF(I57&gt;=H57-1,"Partial","Gap"))))</f>
        <v/>
      </c>
      <c r="L57" s="10">
        <f>IF(OR(I57="",I57="N/A"),0,MIN(I57,H57))</f>
        <v/>
      </c>
      <c r="M57" s="10">
        <f>IF(I57="N/A",0,H57)</f>
        <v/>
      </c>
      <c r="N57" s="9" t="s">
        <v>345</v>
      </c>
      <c r="O57" s="12" t="s">
        <v>1</v>
      </c>
      <c r="P57" s="9" t="s">
        <v>346</v>
      </c>
    </row>
    <row r="58" spans="1:16">
      <c r="A58" s="9" t="s">
        <v>347</v>
      </c>
      <c r="B58" s="9" t="s">
        <v>341</v>
      </c>
      <c r="C58" s="9" t="s">
        <v>348</v>
      </c>
      <c r="D58" s="9" t="s">
        <v>349</v>
      </c>
      <c r="E58" s="9" t="s">
        <v>350</v>
      </c>
      <c r="F58" s="9" t="s">
        <v>77</v>
      </c>
      <c r="G58" s="9" t="s">
        <v>88</v>
      </c>
      <c r="H58" s="10">
        <v>3</v>
      </c>
      <c r="I58" s="11" t="s">
        <v>1</v>
      </c>
      <c r="J58" s="10">
        <f>IF(OR(I58="",I58="N/A"),"",MAX(H58-I58,0))</f>
        <v/>
      </c>
      <c r="K58" s="10">
        <f>IF(I58="","Not assessed",IF(I58="N/A","N/A",IF(I58&gt;=H58,"Aligned",IF(I58&gt;=H58-1,"Partial","Gap"))))</f>
        <v/>
      </c>
      <c r="L58" s="10">
        <f>IF(OR(I58="",I58="N/A"),0,MIN(I58,H58))</f>
        <v/>
      </c>
      <c r="M58" s="10">
        <f>IF(I58="N/A",0,H58)</f>
        <v/>
      </c>
      <c r="N58" s="9" t="s">
        <v>351</v>
      </c>
      <c r="O58" s="12" t="s">
        <v>1</v>
      </c>
      <c r="P58" s="9" t="s">
        <v>352</v>
      </c>
    </row>
  </sheetData>
  <autoFilter ref="A4:P58"/>
  <conditionalFormatting sqref="F5:F58">
    <cfRule type="cellIs" dxfId="4" priority="5" operator="equal">
      <formula>"P1"</formula>
    </cfRule>
  </conditionalFormatting>
  <conditionalFormatting sqref="K5:K58">
    <cfRule type="cellIs" dxfId="0" priority="1" operator="equal">
      <formula>"Aligned"</formula>
    </cfRule>
    <cfRule type="cellIs" dxfId="1" priority="2" operator="equal">
      <formula>"Partial"</formula>
    </cfRule>
    <cfRule type="cellIs" dxfId="2" priority="3" operator="equal">
      <formula>"Gap"</formula>
    </cfRule>
    <cfRule type="cellIs" dxfId="3" priority="4" operator="equal">
      <formula>"Not assessed"</formula>
    </cfRule>
  </conditionalFormatting>
  <dataValidations count="2">
    <dataValidation type="list" allowBlank="1" showInputMessage="1" showErrorMessage="1" promptTitle="Maturity" prompt="0 None · 1 Ad hoc · 2 Partial · 3 Implemented · 4 Managed" sqref="I5:I58">
      <formula1>"0,1,2,3,4,N/A"</formula1>
    </dataValidation>
    <dataValidation type="whole" allowBlank="1" showInputMessage="1" showErrorMessage="1" sqref="H5:H58">
      <formula1>1</formula1>
      <formula2>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workbookViewId="0"/>
  </sheetViews>
  <sheetFormatPr defaultRowHeight="15" x14ac:dyDescent="0.25"/>
  <cols>
    <col min="1" max="1" width="34.7109375" customWidth="1"/>
    <col min="2" max="8" width="15.7109375" customWidth="1"/>
  </cols>
  <sheetData>
    <row r="1" spans="1:8" x14ac:dyDescent="0.25">
      <c r="A1" s="1" t="s">
        <v>353</v>
      </c>
    </row>
    <row r="2" spans="1:8" x14ac:dyDescent="0.25">
      <c r="A2" s="6" t="s">
        <v>354</v>
      </c>
    </row>
    <row r="4" spans="1:8" x14ac:dyDescent="0.25">
      <c r="A4" s="13" t="s">
        <v>355</v>
      </c>
      <c r="B4" s="13" t="s">
        <v>356</v>
      </c>
      <c r="C4" s="13" t="s">
        <v>357</v>
      </c>
      <c r="D4" s="13" t="s">
        <v>358</v>
      </c>
      <c r="E4" s="13" t="s">
        <v>50</v>
      </c>
      <c r="F4" s="13" t="s">
        <v>359</v>
      </c>
      <c r="G4" s="13" t="s">
        <v>360</v>
      </c>
    </row>
    <row r="5" spans="1:8" ht="40" customHeight="1" x14ac:dyDescent="0.25">
      <c r="A5" s="14">
        <f>IFERROR(SUM(Scanner!$L$5:$L$58)/SUM(Scanner!$M$5:$M$58),0)</f>
        <v/>
      </c>
      <c r="B5" s="15">
        <f>COUNTA(Scanner!$I$5:$I$58)&amp;" / 54"</f>
        <v/>
      </c>
      <c r="C5" s="16">
        <f>COUNTIF(Scanner!$K$5:$K$58,"Aligned")</f>
        <v/>
      </c>
      <c r="D5" s="16">
        <f>COUNTIF(Scanner!$K$5:$K$58,"Partial")</f>
        <v/>
      </c>
      <c r="E5" s="16">
        <f>COUNTIF(Scanner!$K$5:$K$58,"Gap")</f>
        <v/>
      </c>
      <c r="F5" s="16">
        <f>COUNTIFS(Scanner!$F$5:$F$58,"P1",Scanner!$K$5:$K$58,"&lt;&gt;Aligned",Scanner!$K$5:$K$58,"&lt;&gt;N/A")</f>
        <v/>
      </c>
      <c r="G5" s="17">
        <f>IF(COUNTA(Scanner!$I$5:$I$58)=0,"Assessment not started",IF(AND(A5&gt;=0.9,F5=0),"Aligned with 27090 baseline",IF(A5&gt;=0.6,"Partially aligned","Significant gaps")))</f>
        <v/>
      </c>
    </row>
    <row r="7" spans="1:8" x14ac:dyDescent="0.25">
      <c r="A7" s="5" t="s">
        <v>361</v>
      </c>
    </row>
    <row r="8" spans="1:8" x14ac:dyDescent="0.25">
      <c r="A8" s="18" t="s">
        <v>44</v>
      </c>
      <c r="B8" s="18" t="s">
        <v>362</v>
      </c>
      <c r="C8" s="18" t="s">
        <v>363</v>
      </c>
      <c r="D8" s="18" t="s">
        <v>26</v>
      </c>
      <c r="E8" s="18" t="s">
        <v>357</v>
      </c>
      <c r="F8" s="18" t="s">
        <v>358</v>
      </c>
      <c r="G8" s="18" t="s">
        <v>50</v>
      </c>
      <c r="H8" s="18" t="s">
        <v>364</v>
      </c>
    </row>
    <row r="9" spans="1:8" x14ac:dyDescent="0.25">
      <c r="A9" s="19" t="s">
        <v>57</v>
      </c>
      <c r="B9" s="20">
        <f>COUNTIF(Scanner!$B$5:$B$58,"Governance &amp; Scope")</f>
        <v/>
      </c>
      <c r="C9" s="20">
        <f>COUNTIFS(Scanner!$B$5:$B$58,"Governance &amp; Scope",Scanner!$I$5:$I$58,"&lt;&gt;")</f>
        <v/>
      </c>
      <c r="D9" s="21">
        <f>IFERROR(SUMIFS(Scanner!$L$5:$L$58,Scanner!$B$5:$B$58,"Governance &amp; Scope")/SUMIFS(Scanner!$M$5:$M$58,Scanner!$B$5:$B$58,"Governance &amp; Scope"),0)</f>
        <v/>
      </c>
      <c r="E9" s="20">
        <f>COUNTIFS(Scanner!$B$5:$B$58,"Governance &amp; Scope",Scanner!$K$5:$K$58,"Aligned")</f>
        <v/>
      </c>
      <c r="F9" s="20">
        <f>COUNTIFS(Scanner!$B$5:$B$58,"Governance &amp; Scope",Scanner!$K$5:$K$58,"Partial")</f>
        <v/>
      </c>
      <c r="G9" s="20">
        <f>COUNTIFS(Scanner!$B$5:$B$58,"Governance &amp; Scope",Scanner!$K$5:$K$58,"Gap")</f>
        <v/>
      </c>
      <c r="H9" s="20">
        <f>COUNTIFS(Scanner!$B$5:$B$58,"Governance &amp; Scope",Scanner!$F$5:$F$58,"P1",Scanner!$K$5:$K$58,"&lt;&gt;Aligned",Scanner!$K$5:$K$58,"&lt;&gt;N/A")</f>
        <v/>
      </c>
    </row>
    <row r="10" spans="1:8" x14ac:dyDescent="0.25">
      <c r="A10" s="19" t="s">
        <v>91</v>
      </c>
      <c r="B10" s="20">
        <f>COUNTIF(Scanner!$B$5:$B$58,"Threat Modelling &amp; Validation")</f>
        <v/>
      </c>
      <c r="C10" s="20">
        <f>COUNTIFS(Scanner!$B$5:$B$58,"Threat Modelling &amp; Validation",Scanner!$I$5:$I$58,"&lt;&gt;")</f>
        <v/>
      </c>
      <c r="D10" s="21">
        <f>IFERROR(SUMIFS(Scanner!$L$5:$L$58,Scanner!$B$5:$B$58,"Threat Modelling &amp; Validation")/SUMIFS(Scanner!$M$5:$M$58,Scanner!$B$5:$B$58,"Threat Modelling &amp; Validation"),0)</f>
        <v/>
      </c>
      <c r="E10" s="20">
        <f>COUNTIFS(Scanner!$B$5:$B$58,"Threat Modelling &amp; Validation",Scanner!$K$5:$K$58,"Aligned")</f>
        <v/>
      </c>
      <c r="F10" s="20">
        <f>COUNTIFS(Scanner!$B$5:$B$58,"Threat Modelling &amp; Validation",Scanner!$K$5:$K$58,"Partial")</f>
        <v/>
      </c>
      <c r="G10" s="20">
        <f>COUNTIFS(Scanner!$B$5:$B$58,"Threat Modelling &amp; Validation",Scanner!$K$5:$K$58,"Gap")</f>
        <v/>
      </c>
      <c r="H10" s="20">
        <f>COUNTIFS(Scanner!$B$5:$B$58,"Threat Modelling &amp; Validation",Scanner!$F$5:$F$58,"P1",Scanner!$K$5:$K$58,"&lt;&gt;Aligned",Scanner!$K$5:$K$58,"&lt;&gt;N/A")</f>
        <v/>
      </c>
    </row>
    <row r="11" spans="1:8" x14ac:dyDescent="0.25">
      <c r="A11" s="19" t="s">
        <v>128</v>
      </c>
      <c r="B11" s="20">
        <f>COUNTIF(Scanner!$B$5:$B$58,"Secure AI Engineering")</f>
        <v/>
      </c>
      <c r="C11" s="20">
        <f>COUNTIFS(Scanner!$B$5:$B$58,"Secure AI Engineering",Scanner!$I$5:$I$58,"&lt;&gt;")</f>
        <v/>
      </c>
      <c r="D11" s="21">
        <f>IFERROR(SUMIFS(Scanner!$L$5:$L$58,Scanner!$B$5:$B$58,"Secure AI Engineering")/SUMIFS(Scanner!$M$5:$M$58,Scanner!$B$5:$B$58,"Secure AI Engineering"),0)</f>
        <v/>
      </c>
      <c r="E11" s="20">
        <f>COUNTIFS(Scanner!$B$5:$B$58,"Secure AI Engineering",Scanner!$K$5:$K$58,"Aligned")</f>
        <v/>
      </c>
      <c r="F11" s="20">
        <f>COUNTIFS(Scanner!$B$5:$B$58,"Secure AI Engineering",Scanner!$K$5:$K$58,"Partial")</f>
        <v/>
      </c>
      <c r="G11" s="20">
        <f>COUNTIFS(Scanner!$B$5:$B$58,"Secure AI Engineering",Scanner!$K$5:$K$58,"Gap")</f>
        <v/>
      </c>
      <c r="H11" s="20">
        <f>COUNTIFS(Scanner!$B$5:$B$58,"Secure AI Engineering",Scanner!$F$5:$F$58,"P1",Scanner!$K$5:$K$58,"&lt;&gt;Aligned",Scanner!$K$5:$K$58,"&lt;&gt;N/A")</f>
        <v/>
      </c>
    </row>
    <row r="12" spans="1:8" x14ac:dyDescent="0.25">
      <c r="A12" s="19" t="s">
        <v>153</v>
      </c>
      <c r="B12" s="20">
        <f>COUNTIF(Scanner!$B$5:$B$58,"AI Supply Chain")</f>
        <v/>
      </c>
      <c r="C12" s="20">
        <f>COUNTIFS(Scanner!$B$5:$B$58,"AI Supply Chain",Scanner!$I$5:$I$58,"&lt;&gt;")</f>
        <v/>
      </c>
      <c r="D12" s="21">
        <f>IFERROR(SUMIFS(Scanner!$L$5:$L$58,Scanner!$B$5:$B$58,"AI Supply Chain")/SUMIFS(Scanner!$M$5:$M$58,Scanner!$B$5:$B$58,"AI Supply Chain"),0)</f>
        <v/>
      </c>
      <c r="E12" s="20">
        <f>COUNTIFS(Scanner!$B$5:$B$58,"AI Supply Chain",Scanner!$K$5:$K$58,"Aligned")</f>
        <v/>
      </c>
      <c r="F12" s="20">
        <f>COUNTIFS(Scanner!$B$5:$B$58,"AI Supply Chain",Scanner!$K$5:$K$58,"Partial")</f>
        <v/>
      </c>
      <c r="G12" s="20">
        <f>COUNTIFS(Scanner!$B$5:$B$58,"AI Supply Chain",Scanner!$K$5:$K$58,"Gap")</f>
        <v/>
      </c>
      <c r="H12" s="20">
        <f>COUNTIFS(Scanner!$B$5:$B$58,"AI Supply Chain",Scanner!$F$5:$F$58,"P1",Scanner!$K$5:$K$58,"&lt;&gt;Aligned",Scanner!$K$5:$K$58,"&lt;&gt;N/A")</f>
        <v/>
      </c>
    </row>
    <row r="13" spans="1:8" x14ac:dyDescent="0.25">
      <c r="A13" s="19" t="s">
        <v>180</v>
      </c>
      <c r="B13" s="20">
        <f>COUNTIF(Scanner!$B$5:$B$58,"Data Protection &amp; Limitation")</f>
        <v/>
      </c>
      <c r="C13" s="20">
        <f>COUNTIFS(Scanner!$B$5:$B$58,"Data Protection &amp; Limitation",Scanner!$I$5:$I$58,"&lt;&gt;")</f>
        <v/>
      </c>
      <c r="D13" s="21">
        <f>IFERROR(SUMIFS(Scanner!$L$5:$L$58,Scanner!$B$5:$B$58,"Data Protection &amp; Limitation")/SUMIFS(Scanner!$M$5:$M$58,Scanner!$B$5:$B$58,"Data Protection &amp; Limitation"),0)</f>
        <v/>
      </c>
      <c r="E13" s="20">
        <f>COUNTIFS(Scanner!$B$5:$B$58,"Data Protection &amp; Limitation",Scanner!$K$5:$K$58,"Aligned")</f>
        <v/>
      </c>
      <c r="F13" s="20">
        <f>COUNTIFS(Scanner!$B$5:$B$58,"Data Protection &amp; Limitation",Scanner!$K$5:$K$58,"Partial")</f>
        <v/>
      </c>
      <c r="G13" s="20">
        <f>COUNTIFS(Scanner!$B$5:$B$58,"Data Protection &amp; Limitation",Scanner!$K$5:$K$58,"Gap")</f>
        <v/>
      </c>
      <c r="H13" s="20">
        <f>COUNTIFS(Scanner!$B$5:$B$58,"Data Protection &amp; Limitation",Scanner!$F$5:$F$58,"P1",Scanner!$K$5:$K$58,"&lt;&gt;Aligned",Scanner!$K$5:$K$58,"&lt;&gt;N/A")</f>
        <v/>
      </c>
    </row>
    <row r="14" spans="1:8" x14ac:dyDescent="0.25">
      <c r="A14" s="19" t="s">
        <v>225</v>
      </c>
      <c r="B14" s="20">
        <f>COUNTIF(Scanner!$B$5:$B$58,"Development Environment Protection")</f>
        <v/>
      </c>
      <c r="C14" s="20">
        <f>COUNTIFS(Scanner!$B$5:$B$58,"Development Environment Protection",Scanner!$I$5:$I$58,"&lt;&gt;")</f>
        <v/>
      </c>
      <c r="D14" s="21">
        <f>IFERROR(SUMIFS(Scanner!$L$5:$L$58,Scanner!$B$5:$B$58,"Development Environment Protection")/SUMIFS(Scanner!$M$5:$M$58,Scanner!$B$5:$B$58,"Development Environment Protection"),0)</f>
        <v/>
      </c>
      <c r="E14" s="20">
        <f>COUNTIFS(Scanner!$B$5:$B$58,"Development Environment Protection",Scanner!$K$5:$K$58,"Aligned")</f>
        <v/>
      </c>
      <c r="F14" s="20">
        <f>COUNTIFS(Scanner!$B$5:$B$58,"Development Environment Protection",Scanner!$K$5:$K$58,"Partial")</f>
        <v/>
      </c>
      <c r="G14" s="20">
        <f>COUNTIFS(Scanner!$B$5:$B$58,"Development Environment Protection",Scanner!$K$5:$K$58,"Gap")</f>
        <v/>
      </c>
      <c r="H14" s="20">
        <f>COUNTIFS(Scanner!$B$5:$B$58,"Development Environment Protection",Scanner!$F$5:$F$58,"P1",Scanner!$K$5:$K$58,"&lt;&gt;Aligned",Scanner!$K$5:$K$58,"&lt;&gt;N/A")</f>
        <v/>
      </c>
    </row>
    <row r="15" spans="1:8" x14ac:dyDescent="0.25">
      <c r="A15" s="19" t="s">
        <v>247</v>
      </c>
      <c r="B15" s="20">
        <f>COUNTIF(Scanner!$B$5:$B$58,"Zero Trust &amp; Access")</f>
        <v/>
      </c>
      <c r="C15" s="20">
        <f>COUNTIFS(Scanner!$B$5:$B$58,"Zero Trust &amp; Access",Scanner!$I$5:$I$58,"&lt;&gt;")</f>
        <v/>
      </c>
      <c r="D15" s="21">
        <f>IFERROR(SUMIFS(Scanner!$L$5:$L$58,Scanner!$B$5:$B$58,"Zero Trust &amp; Access")/SUMIFS(Scanner!$M$5:$M$58,Scanner!$B$5:$B$58,"Zero Trust &amp; Access"),0)</f>
        <v/>
      </c>
      <c r="E15" s="20">
        <f>COUNTIFS(Scanner!$B$5:$B$58,"Zero Trust &amp; Access",Scanner!$K$5:$K$58,"Aligned")</f>
        <v/>
      </c>
      <c r="F15" s="20">
        <f>COUNTIFS(Scanner!$B$5:$B$58,"Zero Trust &amp; Access",Scanner!$K$5:$K$58,"Partial")</f>
        <v/>
      </c>
      <c r="G15" s="20">
        <f>COUNTIFS(Scanner!$B$5:$B$58,"Zero Trust &amp; Access",Scanner!$K$5:$K$58,"Gap")</f>
        <v/>
      </c>
      <c r="H15" s="20">
        <f>COUNTIFS(Scanner!$B$5:$B$58,"Zero Trust &amp; Access",Scanner!$F$5:$F$58,"P1",Scanner!$K$5:$K$58,"&lt;&gt;Aligned",Scanner!$K$5:$K$58,"&lt;&gt;N/A")</f>
        <v/>
      </c>
    </row>
    <row r="16" spans="1:8" x14ac:dyDescent="0.25">
      <c r="A16" s="19" t="s">
        <v>267</v>
      </c>
      <c r="B16" s="20">
        <f>COUNTIF(Scanner!$B$5:$B$58,"Runtime Defences")</f>
        <v/>
      </c>
      <c r="C16" s="20">
        <f>COUNTIFS(Scanner!$B$5:$B$58,"Runtime Defences",Scanner!$I$5:$I$58,"&lt;&gt;")</f>
        <v/>
      </c>
      <c r="D16" s="21">
        <f>IFERROR(SUMIFS(Scanner!$L$5:$L$58,Scanner!$B$5:$B$58,"Runtime Defences")/SUMIFS(Scanner!$M$5:$M$58,Scanner!$B$5:$B$58,"Runtime Defences"),0)</f>
        <v/>
      </c>
      <c r="E16" s="20">
        <f>COUNTIFS(Scanner!$B$5:$B$58,"Runtime Defences",Scanner!$K$5:$K$58,"Aligned")</f>
        <v/>
      </c>
      <c r="F16" s="20">
        <f>COUNTIFS(Scanner!$B$5:$B$58,"Runtime Defences",Scanner!$K$5:$K$58,"Partial")</f>
        <v/>
      </c>
      <c r="G16" s="20">
        <f>COUNTIFS(Scanner!$B$5:$B$58,"Runtime Defences",Scanner!$K$5:$K$58,"Gap")</f>
        <v/>
      </c>
      <c r="H16" s="20">
        <f>COUNTIFS(Scanner!$B$5:$B$58,"Runtime Defences",Scanner!$F$5:$F$58,"P1",Scanner!$K$5:$K$58,"&lt;&gt;Aligned",Scanner!$K$5:$K$58,"&lt;&gt;N/A")</f>
        <v/>
      </c>
    </row>
    <row r="17" spans="1:8" x14ac:dyDescent="0.25">
      <c r="A17" s="19" t="s">
        <v>321</v>
      </c>
      <c r="B17" s="20">
        <f>COUNTIF(Scanner!$B$5:$B$58,"Logging, Monitoring &amp; Response")</f>
        <v/>
      </c>
      <c r="C17" s="20">
        <f>COUNTIFS(Scanner!$B$5:$B$58,"Logging, Monitoring &amp; Response",Scanner!$I$5:$I$58,"&lt;&gt;")</f>
        <v/>
      </c>
      <c r="D17" s="21">
        <f>IFERROR(SUMIFS(Scanner!$L$5:$L$58,Scanner!$B$5:$B$58,"Logging, Monitoring &amp; Response")/SUMIFS(Scanner!$M$5:$M$58,Scanner!$B$5:$B$58,"Logging, Monitoring &amp; Response"),0)</f>
        <v/>
      </c>
      <c r="E17" s="20">
        <f>COUNTIFS(Scanner!$B$5:$B$58,"Logging, Monitoring &amp; Response",Scanner!$K$5:$K$58,"Aligned")</f>
        <v/>
      </c>
      <c r="F17" s="20">
        <f>COUNTIFS(Scanner!$B$5:$B$58,"Logging, Monitoring &amp; Response",Scanner!$K$5:$K$58,"Partial")</f>
        <v/>
      </c>
      <c r="G17" s="20">
        <f>COUNTIFS(Scanner!$B$5:$B$58,"Logging, Monitoring &amp; Response",Scanner!$K$5:$K$58,"Gap")</f>
        <v/>
      </c>
      <c r="H17" s="20">
        <f>COUNTIFS(Scanner!$B$5:$B$58,"Logging, Monitoring &amp; Response",Scanner!$F$5:$F$58,"P1",Scanner!$K$5:$K$58,"&lt;&gt;Aligned",Scanner!$K$5:$K$58,"&lt;&gt;N/A")</f>
        <v/>
      </c>
    </row>
    <row r="18" spans="1:8" x14ac:dyDescent="0.25">
      <c r="A18" s="19" t="s">
        <v>341</v>
      </c>
      <c r="B18" s="20">
        <f>COUNTIF(Scanner!$B$5:$B$58,"Oversight &amp; Transparency")</f>
        <v/>
      </c>
      <c r="C18" s="20">
        <f>COUNTIFS(Scanner!$B$5:$B$58,"Oversight &amp; Transparency",Scanner!$I$5:$I$58,"&lt;&gt;")</f>
        <v/>
      </c>
      <c r="D18" s="21">
        <f>IFERROR(SUMIFS(Scanner!$L$5:$L$58,Scanner!$B$5:$B$58,"Oversight &amp; Transparency")/SUMIFS(Scanner!$M$5:$M$58,Scanner!$B$5:$B$58,"Oversight &amp; Transparency"),0)</f>
        <v/>
      </c>
      <c r="E18" s="20">
        <f>COUNTIFS(Scanner!$B$5:$B$58,"Oversight &amp; Transparency",Scanner!$K$5:$K$58,"Aligned")</f>
        <v/>
      </c>
      <c r="F18" s="20">
        <f>COUNTIFS(Scanner!$B$5:$B$58,"Oversight &amp; Transparency",Scanner!$K$5:$K$58,"Partial")</f>
        <v/>
      </c>
      <c r="G18" s="20">
        <f>COUNTIFS(Scanner!$B$5:$B$58,"Oversight &amp; Transparency",Scanner!$K$5:$K$58,"Gap")</f>
        <v/>
      </c>
      <c r="H18" s="20">
        <f>COUNTIFS(Scanner!$B$5:$B$58,"Oversight &amp; Transparency",Scanner!$F$5:$F$58,"P1",Scanner!$K$5:$K$58,"&lt;&gt;Aligned",Scanner!$K$5:$K$58,"&lt;&gt;N/A")</f>
        <v/>
      </c>
    </row>
    <row r="20" spans="1:8" x14ac:dyDescent="0.25">
      <c r="A20" s="5" t="s">
        <v>365</v>
      </c>
    </row>
    <row r="21" spans="1:8" x14ac:dyDescent="0.25">
      <c r="A21" s="18" t="s">
        <v>30</v>
      </c>
      <c r="B21" s="18" t="s">
        <v>362</v>
      </c>
      <c r="C21" s="18" t="s">
        <v>26</v>
      </c>
      <c r="D21" s="18" t="s">
        <v>366</v>
      </c>
    </row>
    <row r="22" spans="1:8" x14ac:dyDescent="0.25">
      <c r="A22" s="19" t="s">
        <v>367</v>
      </c>
      <c r="B22" s="20">
        <f>COUNTIF(Scanner!$F$5:$F$58,"P1")</f>
        <v/>
      </c>
      <c r="C22" s="21">
        <f>IFERROR(SUMIFS(Scanner!$L$5:$L$58,Scanner!$F$5:$F$58,"P1")/SUMIFS(Scanner!$M$5:$M$58,Scanner!$F$5:$F$58,"P1"),0)</f>
        <v/>
      </c>
      <c r="D22" s="20">
        <f>COUNTIFS(Scanner!$F$5:$F$58,"P1",Scanner!$K$5:$K$58,"&lt;&gt;Aligned",Scanner!$K$5:$K$58,"&lt;&gt;N/A")</f>
        <v/>
      </c>
    </row>
    <row r="23" spans="1:8" x14ac:dyDescent="0.25">
      <c r="A23" s="19" t="s">
        <v>368</v>
      </c>
      <c r="B23" s="20">
        <f>COUNTIF(Scanner!$F$5:$F$58,"P2")</f>
        <v/>
      </c>
      <c r="C23" s="21">
        <f>IFERROR(SUMIFS(Scanner!$L$5:$L$58,Scanner!$F$5:$F$58,"P2")/SUMIFS(Scanner!$M$5:$M$58,Scanner!$F$5:$F$58,"P2"),0)</f>
        <v/>
      </c>
      <c r="D23" s="20">
        <f>COUNTIFS(Scanner!$F$5:$F$58,"P2",Scanner!$K$5:$K$58,"&lt;&gt;Aligned",Scanner!$K$5:$K$58,"&lt;&gt;N/A")</f>
        <v/>
      </c>
    </row>
    <row r="24" spans="1:8" x14ac:dyDescent="0.25">
      <c r="A24" s="19" t="s">
        <v>369</v>
      </c>
      <c r="B24" s="20">
        <f>COUNTIF(Scanner!$F$5:$F$58,"P3")</f>
        <v/>
      </c>
      <c r="C24" s="21">
        <f>IFERROR(SUMIFS(Scanner!$L$5:$L$58,Scanner!$F$5:$F$58,"P3")/SUMIFS(Scanner!$M$5:$M$58,Scanner!$F$5:$F$58,"P3"),0)</f>
        <v/>
      </c>
      <c r="D24" s="20">
        <f>COUNTIFS(Scanner!$F$5:$F$58,"P3",Scanner!$K$5:$K$58,"&lt;&gt;Aligned",Scanner!$K$5:$K$58,"&lt;&gt;N/A")</f>
        <v/>
      </c>
    </row>
    <row r="26" spans="1:8" x14ac:dyDescent="0.25">
      <c r="A26" s="5" t="s">
        <v>370</v>
      </c>
    </row>
    <row r="27" spans="1:8" x14ac:dyDescent="0.25">
      <c r="A27" s="18" t="s">
        <v>48</v>
      </c>
      <c r="B27" s="18" t="s">
        <v>362</v>
      </c>
      <c r="C27" s="18" t="s">
        <v>371</v>
      </c>
      <c r="D27" s="18" t="s">
        <v>26</v>
      </c>
    </row>
    <row r="28" spans="1:8" x14ac:dyDescent="0.25">
      <c r="A28" s="19" t="s">
        <v>62</v>
      </c>
      <c r="B28" s="20">
        <f>COUNTIF(Scanner!$G$5:$G$58,"Week 1 · Discover &amp; Govern")</f>
        <v/>
      </c>
      <c r="C28" s="20">
        <f>COUNTIFS(Scanner!$G$5:$G$58,"Week 1 · Discover &amp; Govern",Scanner!$K$5:$K$58,"&lt;&gt;Aligned",Scanner!$K$5:$K$58,"&lt;&gt;N/A")</f>
        <v/>
      </c>
      <c r="D28" s="21">
        <f>IFERROR(SUMIFS(Scanner!$L$5:$L$58,Scanner!$G$5:$G$58,"Week 1 · Discover &amp; Govern")/SUMIFS(Scanner!$M$5:$M$58,Scanner!$G$5:$G$58,"Week 1 · Discover &amp; Govern"),0)</f>
        <v/>
      </c>
    </row>
    <row r="29" spans="1:8" x14ac:dyDescent="0.25">
      <c r="A29" s="19" t="s">
        <v>132</v>
      </c>
      <c r="B29" s="20">
        <f>COUNTIF(Scanner!$G$5:$G$58,"Week 2 · Harden Build-time")</f>
        <v/>
      </c>
      <c r="C29" s="20">
        <f>COUNTIFS(Scanner!$G$5:$G$58,"Week 2 · Harden Build-time",Scanner!$K$5:$K$58,"&lt;&gt;Aligned",Scanner!$K$5:$K$58,"&lt;&gt;N/A")</f>
        <v/>
      </c>
      <c r="D29" s="21">
        <f>IFERROR(SUMIFS(Scanner!$L$5:$L$58,Scanner!$G$5:$G$58,"Week 2 · Harden Build-time")/SUMIFS(Scanner!$M$5:$M$58,Scanner!$G$5:$G$58,"Week 2 · Harden Build-time"),0)</f>
        <v/>
      </c>
    </row>
    <row r="30" spans="1:8" x14ac:dyDescent="0.25">
      <c r="A30" s="19" t="s">
        <v>215</v>
      </c>
      <c r="B30" s="20">
        <f>COUNTIF(Scanner!$G$5:$G$58,"Week 3 · Secure Runtime")</f>
        <v/>
      </c>
      <c r="C30" s="20">
        <f>COUNTIFS(Scanner!$G$5:$G$58,"Week 3 · Secure Runtime",Scanner!$K$5:$K$58,"&lt;&gt;Aligned",Scanner!$K$5:$K$58,"&lt;&gt;N/A")</f>
        <v/>
      </c>
      <c r="D30" s="21">
        <f>IFERROR(SUMIFS(Scanner!$L$5:$L$58,Scanner!$G$5:$G$58,"Week 3 · Secure Runtime")/SUMIFS(Scanner!$M$5:$M$58,Scanner!$G$5:$G$58,"Week 3 · Secure Runtime"),0)</f>
        <v/>
      </c>
    </row>
    <row r="31" spans="1:8" x14ac:dyDescent="0.25">
      <c r="A31" s="19" t="s">
        <v>88</v>
      </c>
      <c r="B31" s="20">
        <f>COUNTIF(Scanner!$G$5:$G$58,"Week 4 · Validate &amp; Evidence")</f>
        <v/>
      </c>
      <c r="C31" s="20">
        <f>COUNTIFS(Scanner!$G$5:$G$58,"Week 4 · Validate &amp; Evidence",Scanner!$K$5:$K$58,"&lt;&gt;Aligned",Scanner!$K$5:$K$58,"&lt;&gt;N/A")</f>
        <v/>
      </c>
      <c r="D31" s="21">
        <f>IFERROR(SUMIFS(Scanner!$L$5:$L$58,Scanner!$G$5:$G$58,"Week 4 · Validate &amp; Evidence")/SUMIFS(Scanner!$M$5:$M$58,Scanner!$G$5:$G$58,"Week 4 · Validate &amp; Evidence"),0)</f>
        <v/>
      </c>
    </row>
    <row r="32" spans="1:8" x14ac:dyDescent="0.25">
      <c r="A32" s="19" t="s">
        <v>118</v>
      </c>
      <c r="B32" s="20">
        <f>COUNTIF(Scanner!$G$5:$G$58,"Day 31–90 · Backlog")</f>
        <v/>
      </c>
      <c r="C32" s="20">
        <f>COUNTIFS(Scanner!$G$5:$G$58,"Day 31–90 · Backlog",Scanner!$K$5:$K$58,"&lt;&gt;Aligned",Scanner!$K$5:$K$58,"&lt;&gt;N/A")</f>
        <v/>
      </c>
      <c r="D32" s="21">
        <f>IFERROR(SUMIFS(Scanner!$L$5:$L$58,Scanner!$G$5:$G$58,"Day 31–90 · Backlog")/SUMIFS(Scanner!$M$5:$M$58,Scanner!$G$5:$G$58,"Day 31–90 · Backlog"),0)</f>
        <v/>
      </c>
    </row>
  </sheetData>
  <conditionalFormatting sqref="A5">
    <cfRule type="dataBar" priority="1">
      <dataBar>
        <cfvo type="num" val="0"/>
        <cfvo type="num" val="1"/>
        <color rgb="FF0F7C8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D9:D18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0F7C8C"/>
              <x14:negativeFillColor rgb="FFFF0000"/>
              <x14:negativeBorderColor rgb="FFFF0000"/>
              <x14:axisColor rgb="FF000000"/>
            </x14:dataBar>
          </x14:cfRule>
          <xm:sqref>A5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7.7109375" customWidth="1"/>
    <col min="2" max="2" width="30.7109375" customWidth="1"/>
    <col min="3" max="3" width="22.7109375" customWidth="1"/>
    <col min="4" max="4" width="18.7109375" customWidth="1"/>
    <col min="5" max="5" width="40.7109375" customWidth="1"/>
    <col min="6" max="6" width="44.7109375" customWidth="1"/>
    <col min="7" max="7" width="10.7109375" customWidth="1"/>
    <col min="8" max="8" width="12.7109375" customWidth="1"/>
    <col min="9" max="9" width="34.7109375" customWidth="1"/>
  </cols>
  <sheetData>
    <row r="1" spans="1:9">
      <c r="A1" s="1" t="s">
        <v>372</v>
      </c>
    </row>
    <row r="2" spans="1:9">
      <c r="A2" s="6" t="s">
        <v>373</v>
      </c>
    </row>
    <row r="4" spans="1:9">
      <c r="A4" s="18" t="s">
        <v>374</v>
      </c>
      <c r="B4" s="18" t="s">
        <v>375</v>
      </c>
      <c r="C4" s="18" t="s">
        <v>376</v>
      </c>
      <c r="D4" s="18" t="s">
        <v>377</v>
      </c>
      <c r="E4" s="18" t="s">
        <v>378</v>
      </c>
      <c r="F4" s="18" t="s">
        <v>379</v>
      </c>
      <c r="G4" s="18" t="s">
        <v>362</v>
      </c>
      <c r="H4" s="18" t="s">
        <v>380</v>
      </c>
      <c r="I4" s="18" t="s">
        <v>381</v>
      </c>
    </row>
    <row r="5" spans="1:9">
      <c r="A5" s="22" t="s">
        <v>189</v>
      </c>
      <c r="B5" s="23" t="s">
        <v>382</v>
      </c>
      <c r="C5" s="19" t="s">
        <v>383</v>
      </c>
      <c r="D5" s="19" t="s">
        <v>384</v>
      </c>
      <c r="E5" s="19" t="s">
        <v>385</v>
      </c>
      <c r="F5" s="19" t="s">
        <v>386</v>
      </c>
      <c r="G5" s="20">
        <f>SUMPRODUCT(--ISNUMBER(SEARCH(A5,Scanner!$E$5:$E$58)))</f>
        <v/>
      </c>
      <c r="H5" s="21">
        <f>IFERROR(SUMPRODUCT(ISNUMBER(SEARCH(A5,Scanner!$E$5:$E$58))*Scanner!$L$5:$L$58)/SUMPRODUCT(ISNUMBER(SEARCH(A5,Scanner!$E$5:$E$58))*Scanner!$M$5:$M$58),0)</f>
        <v/>
      </c>
      <c r="I5" s="19" t="s">
        <v>387</v>
      </c>
    </row>
    <row r="6" spans="1:9">
      <c r="A6" s="22" t="s">
        <v>388</v>
      </c>
      <c r="B6" s="23" t="s">
        <v>389</v>
      </c>
      <c r="C6" s="19" t="s">
        <v>390</v>
      </c>
      <c r="D6" s="19" t="s">
        <v>384</v>
      </c>
      <c r="E6" s="19" t="s">
        <v>391</v>
      </c>
      <c r="F6" s="19" t="s">
        <v>392</v>
      </c>
      <c r="G6" s="20">
        <f>SUMPRODUCT(--ISNUMBER(SEARCH(A6,Scanner!$E$5:$E$58)))</f>
        <v/>
      </c>
      <c r="H6" s="21">
        <f>IFERROR(SUMPRODUCT(ISNUMBER(SEARCH(A6,Scanner!$E$5:$E$58))*Scanner!$L$5:$L$58)/SUMPRODUCT(ISNUMBER(SEARCH(A6,Scanner!$E$5:$E$58))*Scanner!$M$5:$M$58),0)</f>
        <v/>
      </c>
      <c r="I6" s="19" t="s">
        <v>393</v>
      </c>
    </row>
    <row r="7" spans="1:9">
      <c r="A7" s="22" t="s">
        <v>394</v>
      </c>
      <c r="B7" s="23" t="s">
        <v>395</v>
      </c>
      <c r="C7" s="19" t="s">
        <v>390</v>
      </c>
      <c r="D7" s="19" t="s">
        <v>396</v>
      </c>
      <c r="E7" s="19" t="s">
        <v>397</v>
      </c>
      <c r="F7" s="19" t="s">
        <v>398</v>
      </c>
      <c r="G7" s="20">
        <f>SUMPRODUCT(--ISNUMBER(SEARCH(A7,Scanner!$E$5:$E$58)))</f>
        <v/>
      </c>
      <c r="H7" s="21">
        <f>IFERROR(SUMPRODUCT(ISNUMBER(SEARCH(A7,Scanner!$E$5:$E$58))*Scanner!$L$5:$L$58)/SUMPRODUCT(ISNUMBER(SEARCH(A7,Scanner!$E$5:$E$58))*Scanner!$M$5:$M$58),0)</f>
        <v/>
      </c>
      <c r="I7" s="19" t="s">
        <v>399</v>
      </c>
    </row>
    <row r="8" spans="1:9">
      <c r="A8" s="22" t="s">
        <v>400</v>
      </c>
      <c r="B8" s="23" t="s">
        <v>401</v>
      </c>
      <c r="C8" s="19" t="s">
        <v>390</v>
      </c>
      <c r="D8" s="19" t="s">
        <v>402</v>
      </c>
      <c r="E8" s="19" t="s">
        <v>403</v>
      </c>
      <c r="F8" s="19" t="s">
        <v>404</v>
      </c>
      <c r="G8" s="20">
        <f>SUMPRODUCT(--ISNUMBER(SEARCH(A8,Scanner!$E$5:$E$58)))</f>
        <v/>
      </c>
      <c r="H8" s="21">
        <f>IFERROR(SUMPRODUCT(ISNUMBER(SEARCH(A8,Scanner!$E$5:$E$58))*Scanner!$L$5:$L$58)/SUMPRODUCT(ISNUMBER(SEARCH(A8,Scanner!$E$5:$E$58))*Scanner!$M$5:$M$58),0)</f>
        <v/>
      </c>
      <c r="I8" s="19" t="s">
        <v>405</v>
      </c>
    </row>
    <row r="9" spans="1:9">
      <c r="A9" s="22" t="s">
        <v>406</v>
      </c>
      <c r="B9" s="23" t="s">
        <v>407</v>
      </c>
      <c r="C9" s="19" t="s">
        <v>390</v>
      </c>
      <c r="D9" s="19" t="s">
        <v>408</v>
      </c>
      <c r="E9" s="19" t="s">
        <v>409</v>
      </c>
      <c r="F9" s="19" t="s">
        <v>410</v>
      </c>
      <c r="G9" s="20">
        <f>SUMPRODUCT(--ISNUMBER(SEARCH(A9,Scanner!$E$5:$E$58)))</f>
        <v/>
      </c>
      <c r="H9" s="21">
        <f>IFERROR(SUMPRODUCT(ISNUMBER(SEARCH(A9,Scanner!$E$5:$E$58))*Scanner!$L$5:$L$58)/SUMPRODUCT(ISNUMBER(SEARCH(A9,Scanner!$E$5:$E$58))*Scanner!$M$5:$M$58),0)</f>
        <v/>
      </c>
      <c r="I9" s="19" t="s">
        <v>411</v>
      </c>
    </row>
    <row r="10" spans="1:9">
      <c r="A10" s="22" t="s">
        <v>412</v>
      </c>
      <c r="B10" s="23" t="s">
        <v>413</v>
      </c>
      <c r="C10" s="19" t="s">
        <v>414</v>
      </c>
      <c r="D10" s="19" t="s">
        <v>384</v>
      </c>
      <c r="E10" s="19" t="s">
        <v>415</v>
      </c>
      <c r="F10" s="19" t="s">
        <v>416</v>
      </c>
      <c r="G10" s="20">
        <f>SUMPRODUCT(--ISNUMBER(SEARCH(A10,Scanner!$E$5:$E$58)))</f>
        <v/>
      </c>
      <c r="H10" s="21">
        <f>IFERROR(SUMPRODUCT(ISNUMBER(SEARCH(A10,Scanner!$E$5:$E$58))*Scanner!$L$5:$L$58)/SUMPRODUCT(ISNUMBER(SEARCH(A10,Scanner!$E$5:$E$58))*Scanner!$M$5:$M$58),0)</f>
        <v/>
      </c>
      <c r="I10" s="19" t="s">
        <v>417</v>
      </c>
    </row>
    <row r="11" spans="1:9">
      <c r="A11" s="22" t="s">
        <v>239</v>
      </c>
      <c r="B11" s="23" t="s">
        <v>418</v>
      </c>
      <c r="C11" s="19" t="s">
        <v>419</v>
      </c>
      <c r="D11" s="19" t="s">
        <v>402</v>
      </c>
      <c r="E11" s="19" t="s">
        <v>420</v>
      </c>
      <c r="F11" s="19" t="s">
        <v>421</v>
      </c>
      <c r="G11" s="20">
        <f>SUMPRODUCT(--ISNUMBER(SEARCH(A11,Scanner!$E$5:$E$58)))</f>
        <v/>
      </c>
      <c r="H11" s="21">
        <f>IFERROR(SUMPRODUCT(ISNUMBER(SEARCH(A11,Scanner!$E$5:$E$58))*Scanner!$L$5:$L$58)/SUMPRODUCT(ISNUMBER(SEARCH(A11,Scanner!$E$5:$E$58))*Scanner!$M$5:$M$58),0)</f>
        <v/>
      </c>
      <c r="I11" s="19" t="s">
        <v>422</v>
      </c>
    </row>
    <row r="12" spans="1:9">
      <c r="A12" s="22" t="s">
        <v>423</v>
      </c>
      <c r="B12" s="23" t="s">
        <v>424</v>
      </c>
      <c r="C12" s="19" t="s">
        <v>425</v>
      </c>
      <c r="D12" s="19" t="s">
        <v>408</v>
      </c>
      <c r="E12" s="19" t="s">
        <v>426</v>
      </c>
      <c r="F12" s="19" t="s">
        <v>427</v>
      </c>
      <c r="G12" s="20">
        <f>SUMPRODUCT(--ISNUMBER(SEARCH(A12,Scanner!$E$5:$E$58)))</f>
        <v/>
      </c>
      <c r="H12" s="21">
        <f>IFERROR(SUMPRODUCT(ISNUMBER(SEARCH(A12,Scanner!$E$5:$E$58))*Scanner!$L$5:$L$58)/SUMPRODUCT(ISNUMBER(SEARCH(A12,Scanner!$E$5:$E$58))*Scanner!$M$5:$M$58),0)</f>
        <v/>
      </c>
      <c r="I12" s="19" t="s">
        <v>428</v>
      </c>
    </row>
    <row r="13" spans="1:9">
      <c r="A13" s="22" t="s">
        <v>259</v>
      </c>
      <c r="B13" s="23" t="s">
        <v>429</v>
      </c>
      <c r="C13" s="19" t="s">
        <v>390</v>
      </c>
      <c r="D13" s="19" t="s">
        <v>408</v>
      </c>
      <c r="E13" s="19" t="s">
        <v>426</v>
      </c>
      <c r="F13" s="19" t="s">
        <v>430</v>
      </c>
      <c r="G13" s="20">
        <f>SUMPRODUCT(--ISNUMBER(SEARCH(A13,Scanner!$E$5:$E$58)))</f>
        <v/>
      </c>
      <c r="H13" s="21">
        <f>IFERROR(SUMPRODUCT(ISNUMBER(SEARCH(A13,Scanner!$E$5:$E$58))*Scanner!$L$5:$L$58)/SUMPRODUCT(ISNUMBER(SEARCH(A13,Scanner!$E$5:$E$58))*Scanner!$M$5:$M$58),0)</f>
        <v/>
      </c>
      <c r="I13" s="19" t="s">
        <v>431</v>
      </c>
    </row>
    <row r="14" spans="1:9">
      <c r="A14" s="22" t="s">
        <v>432</v>
      </c>
      <c r="B14" s="23" t="s">
        <v>433</v>
      </c>
      <c r="C14" s="19" t="s">
        <v>390</v>
      </c>
      <c r="D14" s="19" t="s">
        <v>408</v>
      </c>
      <c r="E14" s="19" t="s">
        <v>434</v>
      </c>
      <c r="F14" s="19" t="s">
        <v>435</v>
      </c>
      <c r="G14" s="20">
        <f>SUMPRODUCT(--ISNUMBER(SEARCH(A14,Scanner!$E$5:$E$58)))</f>
        <v/>
      </c>
      <c r="H14" s="21">
        <f>IFERROR(SUMPRODUCT(ISNUMBER(SEARCH(A14,Scanner!$E$5:$E$58))*Scanner!$L$5:$L$58)/SUMPRODUCT(ISNUMBER(SEARCH(A14,Scanner!$E$5:$E$58))*Scanner!$M$5:$M$58),0)</f>
        <v/>
      </c>
      <c r="I14" s="19" t="s">
        <v>436</v>
      </c>
    </row>
    <row r="15" spans="1:9">
      <c r="A15" s="22" t="s">
        <v>270</v>
      </c>
      <c r="B15" s="23" t="s">
        <v>437</v>
      </c>
      <c r="C15" s="19" t="s">
        <v>390</v>
      </c>
      <c r="D15" s="19" t="s">
        <v>438</v>
      </c>
      <c r="E15" s="19" t="s">
        <v>439</v>
      </c>
      <c r="F15" s="19" t="s">
        <v>440</v>
      </c>
      <c r="G15" s="20">
        <f>SUMPRODUCT(--ISNUMBER(SEARCH(A15,Scanner!$E$5:$E$58)))</f>
        <v/>
      </c>
      <c r="H15" s="21">
        <f>IFERROR(SUMPRODUCT(ISNUMBER(SEARCH(A15,Scanner!$E$5:$E$58))*Scanner!$L$5:$L$58)/SUMPRODUCT(ISNUMBER(SEARCH(A15,Scanner!$E$5:$E$58))*Scanner!$M$5:$M$58),0)</f>
        <v/>
      </c>
      <c r="I15" s="19" t="s">
        <v>441</v>
      </c>
    </row>
    <row r="16" spans="1:9">
      <c r="A16" s="22" t="s">
        <v>280</v>
      </c>
      <c r="B16" s="23" t="s">
        <v>442</v>
      </c>
      <c r="C16" s="19" t="s">
        <v>390</v>
      </c>
      <c r="D16" s="19" t="s">
        <v>384</v>
      </c>
      <c r="E16" s="19" t="s">
        <v>443</v>
      </c>
      <c r="F16" s="19" t="s">
        <v>444</v>
      </c>
      <c r="G16" s="20">
        <f>SUMPRODUCT(--ISNUMBER(SEARCH(A16,Scanner!$E$5:$E$58)))</f>
        <v/>
      </c>
      <c r="H16" s="21">
        <f>IFERROR(SUMPRODUCT(ISNUMBER(SEARCH(A16,Scanner!$E$5:$E$58))*Scanner!$L$5:$L$58)/SUMPRODUCT(ISNUMBER(SEARCH(A16,Scanner!$E$5:$E$58))*Scanner!$M$5:$M$58),0)</f>
        <v/>
      </c>
      <c r="I16" s="19" t="s">
        <v>445</v>
      </c>
    </row>
    <row r="17" spans="1:9">
      <c r="A17" s="22" t="s">
        <v>309</v>
      </c>
      <c r="B17" s="23" t="s">
        <v>446</v>
      </c>
      <c r="C17" s="19" t="s">
        <v>390</v>
      </c>
      <c r="D17" s="19" t="s">
        <v>447</v>
      </c>
      <c r="E17" s="19" t="s">
        <v>448</v>
      </c>
      <c r="F17" s="19" t="s">
        <v>449</v>
      </c>
      <c r="G17" s="20">
        <f>SUMPRODUCT(--ISNUMBER(SEARCH(A17,Scanner!$E$5:$E$58)))</f>
        <v/>
      </c>
      <c r="H17" s="21">
        <f>IFERROR(SUMPRODUCT(ISNUMBER(SEARCH(A17,Scanner!$E$5:$E$58))*Scanner!$L$5:$L$58)/SUMPRODUCT(ISNUMBER(SEARCH(A17,Scanner!$E$5:$E$58))*Scanner!$M$5:$M$58),0)</f>
        <v/>
      </c>
      <c r="I17" s="19" t="s">
        <v>450</v>
      </c>
    </row>
    <row r="18" spans="1:9">
      <c r="A18" s="22" t="s">
        <v>451</v>
      </c>
      <c r="B18" s="23" t="s">
        <v>452</v>
      </c>
      <c r="C18" s="19" t="s">
        <v>453</v>
      </c>
      <c r="D18" s="19" t="s">
        <v>384</v>
      </c>
      <c r="E18" s="19" t="s">
        <v>454</v>
      </c>
      <c r="F18" s="19" t="s">
        <v>455</v>
      </c>
      <c r="G18" s="20">
        <f>SUMPRODUCT(--ISNUMBER(SEARCH(A18,Scanner!$E$5:$E$58)))</f>
        <v/>
      </c>
      <c r="H18" s="21">
        <f>IFERROR(SUMPRODUCT(ISNUMBER(SEARCH(A18,Scanner!$E$5:$E$58))*Scanner!$L$5:$L$58)/SUMPRODUCT(ISNUMBER(SEARCH(A18,Scanner!$E$5:$E$58))*Scanner!$M$5:$M$58),0)</f>
        <v/>
      </c>
      <c r="I18" s="19" t="s">
        <v>456</v>
      </c>
    </row>
    <row r="19" spans="1:9">
      <c r="A19" s="22" t="s">
        <v>457</v>
      </c>
      <c r="B19" s="23" t="s">
        <v>458</v>
      </c>
      <c r="C19" s="19" t="s">
        <v>453</v>
      </c>
      <c r="D19" s="19" t="s">
        <v>384</v>
      </c>
      <c r="E19" s="19" t="s">
        <v>459</v>
      </c>
      <c r="F19" s="19" t="s">
        <v>460</v>
      </c>
      <c r="G19" s="20">
        <f>SUMPRODUCT(--ISNUMBER(SEARCH(A19,Scanner!$E$5:$E$58)))</f>
        <v/>
      </c>
      <c r="H19" s="21">
        <f>IFERROR(SUMPRODUCT(ISNUMBER(SEARCH(A19,Scanner!$E$5:$E$58))*Scanner!$L$5:$L$58)/SUMPRODUCT(ISNUMBER(SEARCH(A19,Scanner!$E$5:$E$58))*Scanner!$M$5:$M$58),0)</f>
        <v/>
      </c>
      <c r="I19" s="19" t="s">
        <v>461</v>
      </c>
    </row>
  </sheetData>
  <conditionalFormatting sqref="H5:H19">
    <cfRule type="colorScale" priority="1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showGridLines="0" workbookViewId="0"/>
  </sheetViews>
  <sheetFormatPr defaultRowHeight="15"/>
  <cols>
    <col min="1" max="1" width="26.7109375" customWidth="1"/>
    <col min="2" max="2" width="11.7109375" customWidth="1"/>
    <col min="3" max="3" width="30.7109375" customWidth="1"/>
    <col min="4" max="4" width="70.7109375" customWidth="1"/>
    <col min="5" max="5" width="30.7109375" customWidth="1"/>
    <col min="6" max="6" width="40.7109375" customWidth="1"/>
    <col min="7" max="7" width="22.7109375" customWidth="1"/>
    <col min="8" max="8" width="11.7109375" customWidth="1"/>
  </cols>
  <sheetData>
    <row r="1" spans="1:8">
      <c r="A1" s="1" t="s">
        <v>462</v>
      </c>
    </row>
    <row r="2" spans="1:8" ht="30" customHeight="1">
      <c r="A2" s="6" t="s">
        <v>463</v>
      </c>
    </row>
    <row r="4" spans="1:8">
      <c r="A4" s="8" t="s">
        <v>464</v>
      </c>
      <c r="B4" s="8" t="s">
        <v>465</v>
      </c>
      <c r="C4" s="8" t="s">
        <v>466</v>
      </c>
      <c r="D4" s="8" t="s">
        <v>467</v>
      </c>
      <c r="E4" s="8" t="s">
        <v>362</v>
      </c>
      <c r="F4" s="8" t="s">
        <v>468</v>
      </c>
      <c r="G4" s="8" t="s">
        <v>469</v>
      </c>
      <c r="H4" s="8" t="s">
        <v>371</v>
      </c>
    </row>
    <row r="5" spans="1:8" ht="150" customHeight="1">
      <c r="A5" s="24" t="s">
        <v>62</v>
      </c>
      <c r="B5" s="10" t="s">
        <v>470</v>
      </c>
      <c r="C5" s="9" t="s">
        <v>471</v>
      </c>
      <c r="D5" s="9" t="s">
        <v>472</v>
      </c>
      <c r="E5" s="9" t="s">
        <v>473</v>
      </c>
      <c r="F5" s="9" t="s">
        <v>474</v>
      </c>
      <c r="G5" s="9" t="s">
        <v>475</v>
      </c>
      <c r="H5" s="25">
        <f>COUNTIFS(Scanner!$G$5:$G$58,"Week 1 · Discover &amp; Govern",Scanner!$K$5:$K$58,"&lt;&gt;Aligned",Scanner!$K$5:$K$58,"&lt;&gt;N/A")</f>
        <v/>
      </c>
    </row>
    <row r="6" spans="1:8" ht="150" customHeight="1">
      <c r="A6" s="24" t="s">
        <v>132</v>
      </c>
      <c r="B6" s="10" t="s">
        <v>476</v>
      </c>
      <c r="C6" s="9" t="s">
        <v>477</v>
      </c>
      <c r="D6" s="9" t="s">
        <v>478</v>
      </c>
      <c r="E6" s="9" t="s">
        <v>479</v>
      </c>
      <c r="F6" s="9" t="s">
        <v>480</v>
      </c>
      <c r="G6" s="9" t="s">
        <v>481</v>
      </c>
      <c r="H6" s="25">
        <f>COUNTIFS(Scanner!$G$5:$G$58,"Week 2 · Harden Build-time",Scanner!$K$5:$K$58,"&lt;&gt;Aligned",Scanner!$K$5:$K$58,"&lt;&gt;N/A")</f>
        <v/>
      </c>
    </row>
    <row r="7" spans="1:8" ht="150" customHeight="1">
      <c r="A7" s="24" t="s">
        <v>215</v>
      </c>
      <c r="B7" s="10" t="s">
        <v>482</v>
      </c>
      <c r="C7" s="9" t="s">
        <v>483</v>
      </c>
      <c r="D7" s="9" t="s">
        <v>484</v>
      </c>
      <c r="E7" s="9" t="s">
        <v>485</v>
      </c>
      <c r="F7" s="9" t="s">
        <v>486</v>
      </c>
      <c r="G7" s="9" t="s">
        <v>487</v>
      </c>
      <c r="H7" s="25">
        <f>COUNTIFS(Scanner!$G$5:$G$58,"Week 3 · Secure Runtime",Scanner!$K$5:$K$58,"&lt;&gt;Aligned",Scanner!$K$5:$K$58,"&lt;&gt;N/A")</f>
        <v/>
      </c>
    </row>
    <row r="8" spans="1:8" ht="150" customHeight="1">
      <c r="A8" s="24" t="s">
        <v>88</v>
      </c>
      <c r="B8" s="10" t="s">
        <v>488</v>
      </c>
      <c r="C8" s="9" t="s">
        <v>489</v>
      </c>
      <c r="D8" s="9" t="s">
        <v>490</v>
      </c>
      <c r="E8" s="9" t="s">
        <v>491</v>
      </c>
      <c r="F8" s="9" t="s">
        <v>492</v>
      </c>
      <c r="G8" s="9" t="s">
        <v>493</v>
      </c>
      <c r="H8" s="25">
        <f>COUNTIFS(Scanner!$G$5:$G$58,"Week 4 · Validate &amp; Evidence",Scanner!$K$5:$K$58,"&lt;&gt;Aligned",Scanner!$K$5:$K$58,"&lt;&gt;N/A")</f>
        <v/>
      </c>
    </row>
    <row r="9" spans="1:8" ht="150" customHeight="1">
      <c r="A9" s="24" t="s">
        <v>118</v>
      </c>
      <c r="B9" s="10" t="s">
        <v>494</v>
      </c>
      <c r="C9" s="9" t="s">
        <v>495</v>
      </c>
      <c r="D9" s="9" t="s">
        <v>496</v>
      </c>
      <c r="E9" s="9" t="s">
        <v>497</v>
      </c>
      <c r="F9" s="9" t="s">
        <v>498</v>
      </c>
      <c r="G9" s="9" t="s">
        <v>63</v>
      </c>
      <c r="H9" s="25">
        <f>COUNTIFS(Scanner!$G$5:$G$58,"Day 31–90 · Backlog",Scanner!$K$5:$K$58,"&lt;&gt;Aligned",Scanner!$K$5:$K$58,"&lt;&gt;N/A")</f>
        <v/>
      </c>
    </row>
    <row r="11" spans="1:8">
      <c r="A11" s="5" t="s">
        <v>499</v>
      </c>
      <c r="B11" s="5" t="s">
        <v>1</v>
      </c>
    </row>
    <row r="12" spans="1:8">
      <c r="A12" s="24" t="s">
        <v>500</v>
      </c>
      <c r="B12" s="9" t="s">
        <v>501</v>
      </c>
    </row>
    <row r="13" spans="1:8">
      <c r="A13" s="24" t="s">
        <v>502</v>
      </c>
      <c r="B13" s="9" t="s">
        <v>503</v>
      </c>
    </row>
    <row r="14" spans="1:8">
      <c r="A14" s="24" t="s">
        <v>504</v>
      </c>
      <c r="B14" s="9" t="s">
        <v>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20.7109375" customWidth="1"/>
    <col min="3" max="3" width="30.7109375" customWidth="1"/>
    <col min="4" max="4" width="60.7109375" customWidth="1"/>
    <col min="5" max="5" width="20.7109375" customWidth="1"/>
    <col min="6" max="6" width="16.7109375" customWidth="1"/>
    <col min="7" max="7" width="14.7109375" customWidth="1"/>
    <col min="8" max="8" width="22.7109375" customWidth="1"/>
    <col min="9" max="9" width="30.7109375" customWidth="1"/>
    <col min="10" max="10" width="9.7109375" customWidth="1"/>
    <col min="11" max="11" width="24.7109375" customWidth="1"/>
    <col min="12" max="12" width="20.7109375" customWidth="1"/>
  </cols>
  <sheetData>
    <row r="1" spans="1:12">
      <c r="A1" s="1" t="s">
        <v>506</v>
      </c>
    </row>
    <row r="2" spans="1:12">
      <c r="A2" s="6" t="s">
        <v>507</v>
      </c>
    </row>
    <row r="4" spans="1:12">
      <c r="A4" s="8" t="s">
        <v>43</v>
      </c>
      <c r="B4" s="8" t="s">
        <v>44</v>
      </c>
      <c r="C4" s="8" t="s">
        <v>45</v>
      </c>
      <c r="D4" s="8" t="s">
        <v>508</v>
      </c>
      <c r="E4" s="8" t="s">
        <v>509</v>
      </c>
      <c r="F4" s="8" t="s">
        <v>510</v>
      </c>
      <c r="G4" s="8" t="s">
        <v>511</v>
      </c>
      <c r="H4" s="8" t="s">
        <v>512</v>
      </c>
      <c r="I4" s="8" t="s">
        <v>513</v>
      </c>
      <c r="J4" s="8" t="s">
        <v>30</v>
      </c>
      <c r="K4" s="8" t="s">
        <v>48</v>
      </c>
      <c r="L4" s="8" t="s">
        <v>55</v>
      </c>
    </row>
    <row r="5" spans="1:12">
      <c r="A5" s="9" t="s">
        <v>56</v>
      </c>
      <c r="B5" s="9" t="s">
        <v>57</v>
      </c>
      <c r="C5" s="9" t="s">
        <v>58</v>
      </c>
      <c r="D5" s="9" t="s">
        <v>514</v>
      </c>
      <c r="E5" s="9" t="s">
        <v>60</v>
      </c>
      <c r="F5" s="9" t="s">
        <v>515</v>
      </c>
      <c r="G5" s="9" t="s">
        <v>516</v>
      </c>
      <c r="H5" s="9" t="s">
        <v>517</v>
      </c>
      <c r="I5" s="9" t="s">
        <v>58</v>
      </c>
      <c r="J5" s="9" t="s">
        <v>61</v>
      </c>
      <c r="K5" s="9" t="s">
        <v>62</v>
      </c>
      <c r="L5" s="9" t="s">
        <v>63</v>
      </c>
    </row>
    <row r="6" spans="1:12">
      <c r="A6" s="9" t="s">
        <v>64</v>
      </c>
      <c r="B6" s="9" t="s">
        <v>57</v>
      </c>
      <c r="C6" s="9" t="s">
        <v>65</v>
      </c>
      <c r="D6" s="9" t="s">
        <v>518</v>
      </c>
      <c r="E6" s="9" t="s">
        <v>60</v>
      </c>
      <c r="F6" s="9" t="s">
        <v>515</v>
      </c>
      <c r="G6" s="9" t="s">
        <v>350</v>
      </c>
      <c r="H6" s="9" t="s">
        <v>519</v>
      </c>
      <c r="I6" s="9" t="s">
        <v>67</v>
      </c>
      <c r="J6" s="9" t="s">
        <v>61</v>
      </c>
      <c r="K6" s="9" t="s">
        <v>62</v>
      </c>
      <c r="L6" s="9" t="s">
        <v>68</v>
      </c>
    </row>
    <row r="7" spans="1:12">
      <c r="A7" s="9" t="s">
        <v>69</v>
      </c>
      <c r="B7" s="9" t="s">
        <v>57</v>
      </c>
      <c r="C7" s="9" t="s">
        <v>70</v>
      </c>
      <c r="D7" s="9" t="s">
        <v>520</v>
      </c>
      <c r="E7" s="9" t="s">
        <v>60</v>
      </c>
      <c r="F7" s="9" t="s">
        <v>521</v>
      </c>
      <c r="G7" s="9" t="s">
        <v>350</v>
      </c>
      <c r="H7" s="9" t="s">
        <v>522</v>
      </c>
      <c r="I7" s="9" t="s">
        <v>72</v>
      </c>
      <c r="J7" s="9" t="s">
        <v>61</v>
      </c>
      <c r="K7" s="9" t="s">
        <v>62</v>
      </c>
      <c r="L7" s="9" t="s">
        <v>73</v>
      </c>
    </row>
    <row r="8" spans="1:12">
      <c r="A8" s="9" t="s">
        <v>74</v>
      </c>
      <c r="B8" s="9" t="s">
        <v>57</v>
      </c>
      <c r="C8" s="9" t="s">
        <v>75</v>
      </c>
      <c r="D8" s="9" t="s">
        <v>523</v>
      </c>
      <c r="E8" s="9" t="s">
        <v>60</v>
      </c>
      <c r="F8" s="9" t="s">
        <v>524</v>
      </c>
      <c r="G8" s="9" t="s">
        <v>525</v>
      </c>
      <c r="H8" s="9" t="s">
        <v>526</v>
      </c>
      <c r="I8" s="9" t="s">
        <v>78</v>
      </c>
      <c r="J8" s="9" t="s">
        <v>77</v>
      </c>
      <c r="K8" s="9" t="s">
        <v>62</v>
      </c>
      <c r="L8" s="9" t="s">
        <v>79</v>
      </c>
    </row>
    <row r="9" spans="1:12">
      <c r="A9" s="9" t="s">
        <v>80</v>
      </c>
      <c r="B9" s="9" t="s">
        <v>57</v>
      </c>
      <c r="C9" s="9" t="s">
        <v>81</v>
      </c>
      <c r="D9" s="9" t="s">
        <v>527</v>
      </c>
      <c r="E9" s="9" t="s">
        <v>60</v>
      </c>
      <c r="F9" s="9" t="s">
        <v>528</v>
      </c>
      <c r="G9" s="9" t="s">
        <v>350</v>
      </c>
      <c r="H9" s="9" t="s">
        <v>529</v>
      </c>
      <c r="I9" s="9" t="s">
        <v>83</v>
      </c>
      <c r="J9" s="9" t="s">
        <v>61</v>
      </c>
      <c r="K9" s="9" t="s">
        <v>62</v>
      </c>
      <c r="L9" s="9" t="s">
        <v>84</v>
      </c>
    </row>
    <row r="10" spans="1:12">
      <c r="A10" s="9" t="s">
        <v>85</v>
      </c>
      <c r="B10" s="9" t="s">
        <v>57</v>
      </c>
      <c r="C10" s="9" t="s">
        <v>86</v>
      </c>
      <c r="D10" s="9" t="s">
        <v>530</v>
      </c>
      <c r="E10" s="9" t="s">
        <v>60</v>
      </c>
      <c r="F10" s="9" t="s">
        <v>531</v>
      </c>
      <c r="G10" s="9" t="s">
        <v>532</v>
      </c>
      <c r="H10" s="9" t="s">
        <v>522</v>
      </c>
      <c r="I10" s="9" t="s">
        <v>89</v>
      </c>
      <c r="J10" s="9" t="s">
        <v>61</v>
      </c>
      <c r="K10" s="9" t="s">
        <v>88</v>
      </c>
      <c r="L10" s="9" t="s">
        <v>73</v>
      </c>
    </row>
    <row r="11" spans="1:12">
      <c r="A11" s="9" t="s">
        <v>90</v>
      </c>
      <c r="B11" s="9" t="s">
        <v>91</v>
      </c>
      <c r="C11" s="9" t="s">
        <v>92</v>
      </c>
      <c r="D11" s="9" t="s">
        <v>533</v>
      </c>
      <c r="E11" s="9" t="s">
        <v>94</v>
      </c>
      <c r="F11" s="9" t="s">
        <v>534</v>
      </c>
      <c r="G11" s="9" t="s">
        <v>535</v>
      </c>
      <c r="H11" s="9" t="s">
        <v>536</v>
      </c>
      <c r="I11" s="9" t="s">
        <v>95</v>
      </c>
      <c r="J11" s="9" t="s">
        <v>61</v>
      </c>
      <c r="K11" s="9" t="s">
        <v>62</v>
      </c>
      <c r="L11" s="9" t="s">
        <v>96</v>
      </c>
    </row>
    <row r="12" spans="1:12">
      <c r="A12" s="9" t="s">
        <v>97</v>
      </c>
      <c r="B12" s="9" t="s">
        <v>91</v>
      </c>
      <c r="C12" s="9" t="s">
        <v>98</v>
      </c>
      <c r="D12" s="9" t="s">
        <v>537</v>
      </c>
      <c r="E12" s="9" t="s">
        <v>100</v>
      </c>
      <c r="F12" s="9" t="s">
        <v>538</v>
      </c>
      <c r="G12" s="9" t="s">
        <v>539</v>
      </c>
      <c r="H12" s="9" t="s">
        <v>540</v>
      </c>
      <c r="I12" s="9" t="s">
        <v>101</v>
      </c>
      <c r="J12" s="9" t="s">
        <v>61</v>
      </c>
      <c r="K12" s="9" t="s">
        <v>88</v>
      </c>
      <c r="L12" s="9" t="s">
        <v>102</v>
      </c>
    </row>
    <row r="13" spans="1:12">
      <c r="A13" s="9" t="s">
        <v>103</v>
      </c>
      <c r="B13" s="9" t="s">
        <v>91</v>
      </c>
      <c r="C13" s="9" t="s">
        <v>104</v>
      </c>
      <c r="D13" s="9" t="s">
        <v>541</v>
      </c>
      <c r="E13" s="9" t="s">
        <v>106</v>
      </c>
      <c r="F13" s="9" t="s">
        <v>538</v>
      </c>
      <c r="G13" s="9" t="s">
        <v>539</v>
      </c>
      <c r="H13" s="9" t="s">
        <v>542</v>
      </c>
      <c r="I13" s="9" t="s">
        <v>107</v>
      </c>
      <c r="J13" s="9" t="s">
        <v>77</v>
      </c>
      <c r="K13" s="9" t="s">
        <v>88</v>
      </c>
      <c r="L13" s="9" t="s">
        <v>108</v>
      </c>
    </row>
    <row r="14" spans="1:12">
      <c r="A14" s="9" t="s">
        <v>109</v>
      </c>
      <c r="B14" s="9" t="s">
        <v>91</v>
      </c>
      <c r="C14" s="9" t="s">
        <v>110</v>
      </c>
      <c r="D14" s="9" t="s">
        <v>543</v>
      </c>
      <c r="E14" s="9" t="s">
        <v>112</v>
      </c>
      <c r="F14" s="9" t="s">
        <v>544</v>
      </c>
      <c r="G14" s="9" t="s">
        <v>545</v>
      </c>
      <c r="H14" s="9" t="s">
        <v>546</v>
      </c>
      <c r="I14" s="9" t="s">
        <v>113</v>
      </c>
      <c r="J14" s="9" t="s">
        <v>77</v>
      </c>
      <c r="K14" s="9" t="s">
        <v>88</v>
      </c>
      <c r="L14" s="9" t="s">
        <v>108</v>
      </c>
    </row>
    <row r="15" spans="1:12">
      <c r="A15" s="9" t="s">
        <v>114</v>
      </c>
      <c r="B15" s="9" t="s">
        <v>91</v>
      </c>
      <c r="C15" s="9" t="s">
        <v>115</v>
      </c>
      <c r="D15" s="9" t="s">
        <v>547</v>
      </c>
      <c r="E15" s="9" t="s">
        <v>117</v>
      </c>
      <c r="F15" s="9" t="s">
        <v>538</v>
      </c>
      <c r="G15" s="9" t="s">
        <v>545</v>
      </c>
      <c r="H15" s="9" t="s">
        <v>548</v>
      </c>
      <c r="I15" s="9" t="s">
        <v>119</v>
      </c>
      <c r="J15" s="9" t="s">
        <v>77</v>
      </c>
      <c r="K15" s="9" t="s">
        <v>118</v>
      </c>
      <c r="L15" s="9" t="s">
        <v>108</v>
      </c>
    </row>
    <row r="16" spans="1:12">
      <c r="A16" s="9" t="s">
        <v>120</v>
      </c>
      <c r="B16" s="9" t="s">
        <v>91</v>
      </c>
      <c r="C16" s="9" t="s">
        <v>121</v>
      </c>
      <c r="D16" s="9" t="s">
        <v>549</v>
      </c>
      <c r="E16" s="9" t="s">
        <v>123</v>
      </c>
      <c r="F16" s="9" t="s">
        <v>350</v>
      </c>
      <c r="G16" s="9" t="s">
        <v>539</v>
      </c>
      <c r="H16" s="9" t="s">
        <v>542</v>
      </c>
      <c r="I16" s="9" t="s">
        <v>125</v>
      </c>
      <c r="J16" s="9" t="s">
        <v>124</v>
      </c>
      <c r="K16" s="9" t="s">
        <v>118</v>
      </c>
      <c r="L16" s="9" t="s">
        <v>126</v>
      </c>
    </row>
    <row r="17" spans="1:12">
      <c r="A17" s="9" t="s">
        <v>127</v>
      </c>
      <c r="B17" s="9" t="s">
        <v>128</v>
      </c>
      <c r="C17" s="9" t="s">
        <v>129</v>
      </c>
      <c r="D17" s="9" t="s">
        <v>550</v>
      </c>
      <c r="E17" s="9" t="s">
        <v>131</v>
      </c>
      <c r="F17" s="9" t="s">
        <v>551</v>
      </c>
      <c r="G17" s="9" t="s">
        <v>552</v>
      </c>
      <c r="H17" s="9" t="s">
        <v>553</v>
      </c>
      <c r="I17" s="9" t="s">
        <v>133</v>
      </c>
      <c r="J17" s="9" t="s">
        <v>77</v>
      </c>
      <c r="K17" s="9" t="s">
        <v>132</v>
      </c>
      <c r="L17" s="9" t="s">
        <v>134</v>
      </c>
    </row>
    <row r="18" spans="1:12">
      <c r="A18" s="9" t="s">
        <v>135</v>
      </c>
      <c r="B18" s="9" t="s">
        <v>128</v>
      </c>
      <c r="C18" s="9" t="s">
        <v>136</v>
      </c>
      <c r="D18" s="9" t="s">
        <v>554</v>
      </c>
      <c r="E18" s="9" t="s">
        <v>138</v>
      </c>
      <c r="F18" s="9" t="s">
        <v>534</v>
      </c>
      <c r="G18" s="9" t="s">
        <v>555</v>
      </c>
      <c r="H18" s="9" t="s">
        <v>556</v>
      </c>
      <c r="I18" s="9" t="s">
        <v>139</v>
      </c>
      <c r="J18" s="9" t="s">
        <v>61</v>
      </c>
      <c r="K18" s="9" t="s">
        <v>132</v>
      </c>
      <c r="L18" s="9" t="s">
        <v>140</v>
      </c>
    </row>
    <row r="19" spans="1:12">
      <c r="A19" s="9" t="s">
        <v>141</v>
      </c>
      <c r="B19" s="9" t="s">
        <v>128</v>
      </c>
      <c r="C19" s="9" t="s">
        <v>142</v>
      </c>
      <c r="D19" s="9" t="s">
        <v>557</v>
      </c>
      <c r="E19" s="9" t="s">
        <v>144</v>
      </c>
      <c r="F19" s="9" t="s">
        <v>534</v>
      </c>
      <c r="G19" s="9" t="s">
        <v>539</v>
      </c>
      <c r="H19" s="9" t="s">
        <v>558</v>
      </c>
      <c r="I19" s="9" t="s">
        <v>145</v>
      </c>
      <c r="J19" s="9" t="s">
        <v>77</v>
      </c>
      <c r="K19" s="9" t="s">
        <v>132</v>
      </c>
      <c r="L19" s="9" t="s">
        <v>108</v>
      </c>
    </row>
    <row r="20" spans="1:12">
      <c r="A20" s="9" t="s">
        <v>146</v>
      </c>
      <c r="B20" s="9" t="s">
        <v>128</v>
      </c>
      <c r="C20" s="9" t="s">
        <v>147</v>
      </c>
      <c r="D20" s="9" t="s">
        <v>559</v>
      </c>
      <c r="E20" s="9" t="s">
        <v>149</v>
      </c>
      <c r="F20" s="9" t="s">
        <v>560</v>
      </c>
      <c r="G20" s="9" t="s">
        <v>539</v>
      </c>
      <c r="H20" s="9" t="s">
        <v>561</v>
      </c>
      <c r="I20" s="9" t="s">
        <v>150</v>
      </c>
      <c r="J20" s="9" t="s">
        <v>77</v>
      </c>
      <c r="K20" s="9" t="s">
        <v>132</v>
      </c>
      <c r="L20" s="9" t="s">
        <v>151</v>
      </c>
    </row>
    <row r="21" spans="1:12">
      <c r="A21" s="9" t="s">
        <v>152</v>
      </c>
      <c r="B21" s="9" t="s">
        <v>153</v>
      </c>
      <c r="C21" s="9" t="s">
        <v>154</v>
      </c>
      <c r="D21" s="9" t="s">
        <v>562</v>
      </c>
      <c r="E21" s="9" t="s">
        <v>156</v>
      </c>
      <c r="F21" s="9" t="s">
        <v>563</v>
      </c>
      <c r="G21" s="9" t="s">
        <v>555</v>
      </c>
      <c r="H21" s="9" t="s">
        <v>564</v>
      </c>
      <c r="I21" s="9" t="s">
        <v>157</v>
      </c>
      <c r="J21" s="9" t="s">
        <v>61</v>
      </c>
      <c r="K21" s="9" t="s">
        <v>132</v>
      </c>
      <c r="L21" s="9" t="s">
        <v>158</v>
      </c>
    </row>
    <row r="22" spans="1:12">
      <c r="A22" s="9" t="s">
        <v>159</v>
      </c>
      <c r="B22" s="9" t="s">
        <v>153</v>
      </c>
      <c r="C22" s="9" t="s">
        <v>160</v>
      </c>
      <c r="D22" s="9" t="s">
        <v>565</v>
      </c>
      <c r="E22" s="9" t="s">
        <v>162</v>
      </c>
      <c r="F22" s="9" t="s">
        <v>566</v>
      </c>
      <c r="G22" s="9" t="s">
        <v>350</v>
      </c>
      <c r="H22" s="9" t="s">
        <v>567</v>
      </c>
      <c r="I22" s="9" t="s">
        <v>163</v>
      </c>
      <c r="J22" s="9" t="s">
        <v>61</v>
      </c>
      <c r="K22" s="9" t="s">
        <v>132</v>
      </c>
      <c r="L22" s="9" t="s">
        <v>151</v>
      </c>
    </row>
    <row r="23" spans="1:12">
      <c r="A23" s="9" t="s">
        <v>164</v>
      </c>
      <c r="B23" s="9" t="s">
        <v>153</v>
      </c>
      <c r="C23" s="9" t="s">
        <v>165</v>
      </c>
      <c r="D23" s="9" t="s">
        <v>568</v>
      </c>
      <c r="E23" s="9" t="s">
        <v>123</v>
      </c>
      <c r="F23" s="9" t="s">
        <v>569</v>
      </c>
      <c r="G23" s="9" t="s">
        <v>555</v>
      </c>
      <c r="H23" s="9" t="s">
        <v>570</v>
      </c>
      <c r="I23" s="9" t="s">
        <v>167</v>
      </c>
      <c r="J23" s="9" t="s">
        <v>77</v>
      </c>
      <c r="K23" s="9" t="s">
        <v>132</v>
      </c>
      <c r="L23" s="9" t="s">
        <v>96</v>
      </c>
    </row>
    <row r="24" spans="1:12">
      <c r="A24" s="9" t="s">
        <v>168</v>
      </c>
      <c r="B24" s="9" t="s">
        <v>153</v>
      </c>
      <c r="C24" s="9" t="s">
        <v>169</v>
      </c>
      <c r="D24" s="9" t="s">
        <v>571</v>
      </c>
      <c r="E24" s="9" t="s">
        <v>171</v>
      </c>
      <c r="F24" s="9" t="s">
        <v>572</v>
      </c>
      <c r="G24" s="9" t="s">
        <v>555</v>
      </c>
      <c r="H24" s="9" t="s">
        <v>570</v>
      </c>
      <c r="I24" s="9" t="s">
        <v>172</v>
      </c>
      <c r="J24" s="9" t="s">
        <v>77</v>
      </c>
      <c r="K24" s="9" t="s">
        <v>88</v>
      </c>
      <c r="L24" s="9" t="s">
        <v>173</v>
      </c>
    </row>
    <row r="25" spans="1:12">
      <c r="A25" s="9" t="s">
        <v>174</v>
      </c>
      <c r="B25" s="9" t="s">
        <v>153</v>
      </c>
      <c r="C25" s="9" t="s">
        <v>175</v>
      </c>
      <c r="D25" s="9" t="s">
        <v>573</v>
      </c>
      <c r="E25" s="9" t="s">
        <v>177</v>
      </c>
      <c r="F25" s="9" t="s">
        <v>574</v>
      </c>
      <c r="G25" s="9" t="s">
        <v>350</v>
      </c>
      <c r="H25" s="9" t="s">
        <v>575</v>
      </c>
      <c r="I25" s="9" t="s">
        <v>178</v>
      </c>
      <c r="J25" s="9" t="s">
        <v>77</v>
      </c>
      <c r="K25" s="9" t="s">
        <v>132</v>
      </c>
      <c r="L25" s="9" t="s">
        <v>151</v>
      </c>
    </row>
    <row r="26" spans="1:12">
      <c r="A26" s="9" t="s">
        <v>179</v>
      </c>
      <c r="B26" s="9" t="s">
        <v>180</v>
      </c>
      <c r="C26" s="9" t="s">
        <v>181</v>
      </c>
      <c r="D26" s="9" t="s">
        <v>576</v>
      </c>
      <c r="E26" s="9" t="s">
        <v>183</v>
      </c>
      <c r="F26" s="9" t="s">
        <v>577</v>
      </c>
      <c r="G26" s="9" t="s">
        <v>350</v>
      </c>
      <c r="H26" s="9" t="s">
        <v>578</v>
      </c>
      <c r="I26" s="9" t="s">
        <v>184</v>
      </c>
      <c r="J26" s="9" t="s">
        <v>61</v>
      </c>
      <c r="K26" s="9" t="s">
        <v>132</v>
      </c>
      <c r="L26" s="9" t="s">
        <v>185</v>
      </c>
    </row>
    <row r="27" spans="1:12">
      <c r="A27" s="9" t="s">
        <v>186</v>
      </c>
      <c r="B27" s="9" t="s">
        <v>180</v>
      </c>
      <c r="C27" s="9" t="s">
        <v>187</v>
      </c>
      <c r="D27" s="9" t="s">
        <v>579</v>
      </c>
      <c r="E27" s="9" t="s">
        <v>189</v>
      </c>
      <c r="F27" s="9" t="s">
        <v>534</v>
      </c>
      <c r="G27" s="9" t="s">
        <v>580</v>
      </c>
      <c r="H27" s="9" t="s">
        <v>581</v>
      </c>
      <c r="I27" s="9" t="s">
        <v>190</v>
      </c>
      <c r="J27" s="9" t="s">
        <v>61</v>
      </c>
      <c r="K27" s="9" t="s">
        <v>132</v>
      </c>
      <c r="L27" s="9" t="s">
        <v>140</v>
      </c>
    </row>
    <row r="28" spans="1:12">
      <c r="A28" s="9" t="s">
        <v>191</v>
      </c>
      <c r="B28" s="9" t="s">
        <v>180</v>
      </c>
      <c r="C28" s="9" t="s">
        <v>192</v>
      </c>
      <c r="D28" s="9" t="s">
        <v>582</v>
      </c>
      <c r="E28" s="9" t="s">
        <v>189</v>
      </c>
      <c r="F28" s="9" t="s">
        <v>350</v>
      </c>
      <c r="G28" s="9" t="s">
        <v>583</v>
      </c>
      <c r="H28" s="9" t="s">
        <v>584</v>
      </c>
      <c r="I28" s="9" t="s">
        <v>194</v>
      </c>
      <c r="J28" s="9" t="s">
        <v>77</v>
      </c>
      <c r="K28" s="9" t="s">
        <v>132</v>
      </c>
      <c r="L28" s="9" t="s">
        <v>108</v>
      </c>
    </row>
    <row r="29" spans="1:12">
      <c r="A29" s="9" t="s">
        <v>195</v>
      </c>
      <c r="B29" s="9" t="s">
        <v>180</v>
      </c>
      <c r="C29" s="9" t="s">
        <v>196</v>
      </c>
      <c r="D29" s="9" t="s">
        <v>585</v>
      </c>
      <c r="E29" s="9" t="s">
        <v>198</v>
      </c>
      <c r="F29" s="9" t="s">
        <v>586</v>
      </c>
      <c r="G29" s="9" t="s">
        <v>583</v>
      </c>
      <c r="H29" s="9" t="s">
        <v>587</v>
      </c>
      <c r="I29" s="9" t="s">
        <v>199</v>
      </c>
      <c r="J29" s="9" t="s">
        <v>77</v>
      </c>
      <c r="K29" s="9" t="s">
        <v>132</v>
      </c>
      <c r="L29" s="9" t="s">
        <v>200</v>
      </c>
    </row>
    <row r="30" spans="1:12">
      <c r="A30" s="9" t="s">
        <v>201</v>
      </c>
      <c r="B30" s="9" t="s">
        <v>180</v>
      </c>
      <c r="C30" s="9" t="s">
        <v>202</v>
      </c>
      <c r="D30" s="9" t="s">
        <v>588</v>
      </c>
      <c r="E30" s="9" t="s">
        <v>204</v>
      </c>
      <c r="F30" s="9" t="s">
        <v>589</v>
      </c>
      <c r="G30" s="9" t="s">
        <v>350</v>
      </c>
      <c r="H30" s="9" t="s">
        <v>587</v>
      </c>
      <c r="I30" s="9" t="s">
        <v>205</v>
      </c>
      <c r="J30" s="9" t="s">
        <v>77</v>
      </c>
      <c r="K30" s="9" t="s">
        <v>118</v>
      </c>
      <c r="L30" s="9" t="s">
        <v>200</v>
      </c>
    </row>
    <row r="31" spans="1:12">
      <c r="A31" s="9" t="s">
        <v>206</v>
      </c>
      <c r="B31" s="9" t="s">
        <v>180</v>
      </c>
      <c r="C31" s="9" t="s">
        <v>207</v>
      </c>
      <c r="D31" s="9" t="s">
        <v>590</v>
      </c>
      <c r="E31" s="9" t="s">
        <v>209</v>
      </c>
      <c r="F31" s="9" t="s">
        <v>591</v>
      </c>
      <c r="G31" s="9" t="s">
        <v>350</v>
      </c>
      <c r="H31" s="9" t="s">
        <v>587</v>
      </c>
      <c r="I31" s="9" t="s">
        <v>210</v>
      </c>
      <c r="J31" s="9" t="s">
        <v>124</v>
      </c>
      <c r="K31" s="9" t="s">
        <v>118</v>
      </c>
      <c r="L31" s="9" t="s">
        <v>200</v>
      </c>
    </row>
    <row r="32" spans="1:12">
      <c r="A32" s="9" t="s">
        <v>211</v>
      </c>
      <c r="B32" s="9" t="s">
        <v>180</v>
      </c>
      <c r="C32" s="9" t="s">
        <v>212</v>
      </c>
      <c r="D32" s="9" t="s">
        <v>592</v>
      </c>
      <c r="E32" s="9" t="s">
        <v>214</v>
      </c>
      <c r="F32" s="9" t="s">
        <v>593</v>
      </c>
      <c r="G32" s="9" t="s">
        <v>350</v>
      </c>
      <c r="H32" s="9" t="s">
        <v>594</v>
      </c>
      <c r="I32" s="9" t="s">
        <v>216</v>
      </c>
      <c r="J32" s="9" t="s">
        <v>61</v>
      </c>
      <c r="K32" s="9" t="s">
        <v>215</v>
      </c>
      <c r="L32" s="9" t="s">
        <v>217</v>
      </c>
    </row>
    <row r="33" spans="1:12">
      <c r="A33" s="9" t="s">
        <v>218</v>
      </c>
      <c r="B33" s="9" t="s">
        <v>180</v>
      </c>
      <c r="C33" s="9" t="s">
        <v>219</v>
      </c>
      <c r="D33" s="9" t="s">
        <v>595</v>
      </c>
      <c r="E33" s="9" t="s">
        <v>221</v>
      </c>
      <c r="F33" s="9" t="s">
        <v>596</v>
      </c>
      <c r="G33" s="9" t="s">
        <v>597</v>
      </c>
      <c r="H33" s="9" t="s">
        <v>350</v>
      </c>
      <c r="I33" s="9" t="s">
        <v>222</v>
      </c>
      <c r="J33" s="9" t="s">
        <v>124</v>
      </c>
      <c r="K33" s="9" t="s">
        <v>118</v>
      </c>
      <c r="L33" s="9" t="s">
        <v>223</v>
      </c>
    </row>
    <row r="34" spans="1:12">
      <c r="A34" s="9" t="s">
        <v>224</v>
      </c>
      <c r="B34" s="9" t="s">
        <v>225</v>
      </c>
      <c r="C34" s="9" t="s">
        <v>226</v>
      </c>
      <c r="D34" s="9" t="s">
        <v>598</v>
      </c>
      <c r="E34" s="9" t="s">
        <v>228</v>
      </c>
      <c r="F34" s="9" t="s">
        <v>599</v>
      </c>
      <c r="G34" s="9" t="s">
        <v>350</v>
      </c>
      <c r="H34" s="9" t="s">
        <v>600</v>
      </c>
      <c r="I34" s="9" t="s">
        <v>229</v>
      </c>
      <c r="J34" s="9" t="s">
        <v>61</v>
      </c>
      <c r="K34" s="9" t="s">
        <v>132</v>
      </c>
      <c r="L34" s="9" t="s">
        <v>230</v>
      </c>
    </row>
    <row r="35" spans="1:12">
      <c r="A35" s="9" t="s">
        <v>231</v>
      </c>
      <c r="B35" s="9" t="s">
        <v>225</v>
      </c>
      <c r="C35" s="9" t="s">
        <v>232</v>
      </c>
      <c r="D35" s="9" t="s">
        <v>601</v>
      </c>
      <c r="E35" s="9" t="s">
        <v>144</v>
      </c>
      <c r="F35" s="9" t="s">
        <v>602</v>
      </c>
      <c r="G35" s="9" t="s">
        <v>350</v>
      </c>
      <c r="H35" s="9" t="s">
        <v>603</v>
      </c>
      <c r="I35" s="9" t="s">
        <v>234</v>
      </c>
      <c r="J35" s="9" t="s">
        <v>61</v>
      </c>
      <c r="K35" s="9" t="s">
        <v>132</v>
      </c>
      <c r="L35" s="9" t="s">
        <v>235</v>
      </c>
    </row>
    <row r="36" spans="1:12">
      <c r="A36" s="9" t="s">
        <v>236</v>
      </c>
      <c r="B36" s="9" t="s">
        <v>225</v>
      </c>
      <c r="C36" s="9" t="s">
        <v>237</v>
      </c>
      <c r="D36" s="9" t="s">
        <v>604</v>
      </c>
      <c r="E36" s="9" t="s">
        <v>239</v>
      </c>
      <c r="F36" s="9" t="s">
        <v>605</v>
      </c>
      <c r="G36" s="9" t="s">
        <v>350</v>
      </c>
      <c r="H36" s="9" t="s">
        <v>606</v>
      </c>
      <c r="I36" s="9" t="s">
        <v>240</v>
      </c>
      <c r="J36" s="9" t="s">
        <v>77</v>
      </c>
      <c r="K36" s="9" t="s">
        <v>132</v>
      </c>
      <c r="L36" s="9" t="s">
        <v>230</v>
      </c>
    </row>
    <row r="37" spans="1:12">
      <c r="A37" s="9" t="s">
        <v>241</v>
      </c>
      <c r="B37" s="9" t="s">
        <v>225</v>
      </c>
      <c r="C37" s="9" t="s">
        <v>242</v>
      </c>
      <c r="D37" s="9" t="s">
        <v>607</v>
      </c>
      <c r="E37" s="9" t="s">
        <v>228</v>
      </c>
      <c r="F37" s="9" t="s">
        <v>544</v>
      </c>
      <c r="G37" s="9" t="s">
        <v>350</v>
      </c>
      <c r="H37" s="9" t="s">
        <v>608</v>
      </c>
      <c r="I37" s="9" t="s">
        <v>244</v>
      </c>
      <c r="J37" s="9" t="s">
        <v>77</v>
      </c>
      <c r="K37" s="9" t="s">
        <v>132</v>
      </c>
      <c r="L37" s="9" t="s">
        <v>245</v>
      </c>
    </row>
    <row r="38" spans="1:12">
      <c r="A38" s="9" t="s">
        <v>246</v>
      </c>
      <c r="B38" s="9" t="s">
        <v>247</v>
      </c>
      <c r="C38" s="9" t="s">
        <v>248</v>
      </c>
      <c r="D38" s="9" t="s">
        <v>609</v>
      </c>
      <c r="E38" s="9" t="s">
        <v>60</v>
      </c>
      <c r="F38" s="9" t="s">
        <v>610</v>
      </c>
      <c r="G38" s="9" t="s">
        <v>350</v>
      </c>
      <c r="H38" s="9" t="s">
        <v>611</v>
      </c>
      <c r="I38" s="9" t="s">
        <v>250</v>
      </c>
      <c r="J38" s="9" t="s">
        <v>61</v>
      </c>
      <c r="K38" s="9" t="s">
        <v>215</v>
      </c>
      <c r="L38" s="9" t="s">
        <v>96</v>
      </c>
    </row>
    <row r="39" spans="1:12">
      <c r="A39" s="9" t="s">
        <v>251</v>
      </c>
      <c r="B39" s="9" t="s">
        <v>247</v>
      </c>
      <c r="C39" s="9" t="s">
        <v>252</v>
      </c>
      <c r="D39" s="9" t="s">
        <v>612</v>
      </c>
      <c r="E39" s="9" t="s">
        <v>254</v>
      </c>
      <c r="F39" s="9" t="s">
        <v>613</v>
      </c>
      <c r="G39" s="9" t="s">
        <v>350</v>
      </c>
      <c r="H39" s="9" t="s">
        <v>578</v>
      </c>
      <c r="I39" s="9" t="s">
        <v>255</v>
      </c>
      <c r="J39" s="9" t="s">
        <v>61</v>
      </c>
      <c r="K39" s="9" t="s">
        <v>215</v>
      </c>
      <c r="L39" s="9" t="s">
        <v>235</v>
      </c>
    </row>
    <row r="40" spans="1:12">
      <c r="A40" s="9" t="s">
        <v>256</v>
      </c>
      <c r="B40" s="9" t="s">
        <v>247</v>
      </c>
      <c r="C40" s="9" t="s">
        <v>257</v>
      </c>
      <c r="D40" s="9" t="s">
        <v>614</v>
      </c>
      <c r="E40" s="9" t="s">
        <v>259</v>
      </c>
      <c r="F40" s="9" t="s">
        <v>605</v>
      </c>
      <c r="G40" s="9" t="s">
        <v>350</v>
      </c>
      <c r="H40" s="9" t="s">
        <v>615</v>
      </c>
      <c r="I40" s="9" t="s">
        <v>260</v>
      </c>
      <c r="J40" s="9" t="s">
        <v>61</v>
      </c>
      <c r="K40" s="9" t="s">
        <v>215</v>
      </c>
      <c r="L40" s="9" t="s">
        <v>230</v>
      </c>
    </row>
    <row r="41" spans="1:12">
      <c r="A41" s="9" t="s">
        <v>261</v>
      </c>
      <c r="B41" s="9" t="s">
        <v>247</v>
      </c>
      <c r="C41" s="9" t="s">
        <v>262</v>
      </c>
      <c r="D41" s="9" t="s">
        <v>616</v>
      </c>
      <c r="E41" s="9" t="s">
        <v>264</v>
      </c>
      <c r="F41" s="9" t="s">
        <v>617</v>
      </c>
      <c r="G41" s="9" t="s">
        <v>618</v>
      </c>
      <c r="H41" s="9" t="s">
        <v>603</v>
      </c>
      <c r="I41" s="9" t="s">
        <v>265</v>
      </c>
      <c r="J41" s="9" t="s">
        <v>61</v>
      </c>
      <c r="K41" s="9" t="s">
        <v>215</v>
      </c>
      <c r="L41" s="9" t="s">
        <v>235</v>
      </c>
    </row>
    <row r="42" spans="1:12">
      <c r="A42" s="9" t="s">
        <v>266</v>
      </c>
      <c r="B42" s="9" t="s">
        <v>267</v>
      </c>
      <c r="C42" s="9" t="s">
        <v>268</v>
      </c>
      <c r="D42" s="9" t="s">
        <v>619</v>
      </c>
      <c r="E42" s="9" t="s">
        <v>270</v>
      </c>
      <c r="F42" s="9" t="s">
        <v>620</v>
      </c>
      <c r="G42" s="9" t="s">
        <v>350</v>
      </c>
      <c r="H42" s="9" t="s">
        <v>621</v>
      </c>
      <c r="I42" s="9" t="s">
        <v>271</v>
      </c>
      <c r="J42" s="9" t="s">
        <v>61</v>
      </c>
      <c r="K42" s="9" t="s">
        <v>215</v>
      </c>
      <c r="L42" s="9" t="s">
        <v>217</v>
      </c>
    </row>
    <row r="43" spans="1:12">
      <c r="A43" s="9" t="s">
        <v>272</v>
      </c>
      <c r="B43" s="9" t="s">
        <v>267</v>
      </c>
      <c r="C43" s="9" t="s">
        <v>273</v>
      </c>
      <c r="D43" s="9" t="s">
        <v>622</v>
      </c>
      <c r="E43" s="9" t="s">
        <v>275</v>
      </c>
      <c r="F43" s="9" t="s">
        <v>620</v>
      </c>
      <c r="G43" s="9" t="s">
        <v>350</v>
      </c>
      <c r="H43" s="9" t="s">
        <v>623</v>
      </c>
      <c r="I43" s="9" t="s">
        <v>276</v>
      </c>
      <c r="J43" s="9" t="s">
        <v>61</v>
      </c>
      <c r="K43" s="9" t="s">
        <v>215</v>
      </c>
      <c r="L43" s="9" t="s">
        <v>217</v>
      </c>
    </row>
    <row r="44" spans="1:12">
      <c r="A44" s="9" t="s">
        <v>277</v>
      </c>
      <c r="B44" s="9" t="s">
        <v>267</v>
      </c>
      <c r="C44" s="9" t="s">
        <v>278</v>
      </c>
      <c r="D44" s="9" t="s">
        <v>624</v>
      </c>
      <c r="E44" s="9" t="s">
        <v>280</v>
      </c>
      <c r="F44" s="9" t="s">
        <v>620</v>
      </c>
      <c r="G44" s="9" t="s">
        <v>350</v>
      </c>
      <c r="H44" s="9" t="s">
        <v>625</v>
      </c>
      <c r="I44" s="9" t="s">
        <v>281</v>
      </c>
      <c r="J44" s="9" t="s">
        <v>61</v>
      </c>
      <c r="K44" s="9" t="s">
        <v>215</v>
      </c>
      <c r="L44" s="9" t="s">
        <v>134</v>
      </c>
    </row>
    <row r="45" spans="1:12">
      <c r="A45" s="9" t="s">
        <v>282</v>
      </c>
      <c r="B45" s="9" t="s">
        <v>267</v>
      </c>
      <c r="C45" s="9" t="s">
        <v>283</v>
      </c>
      <c r="D45" s="9" t="s">
        <v>626</v>
      </c>
      <c r="E45" s="9" t="s">
        <v>285</v>
      </c>
      <c r="F45" s="9" t="s">
        <v>627</v>
      </c>
      <c r="G45" s="9" t="s">
        <v>350</v>
      </c>
      <c r="H45" s="9" t="s">
        <v>628</v>
      </c>
      <c r="I45" s="9" t="s">
        <v>286</v>
      </c>
      <c r="J45" s="9" t="s">
        <v>61</v>
      </c>
      <c r="K45" s="9" t="s">
        <v>215</v>
      </c>
      <c r="L45" s="9" t="s">
        <v>200</v>
      </c>
    </row>
    <row r="46" spans="1:12">
      <c r="A46" s="9" t="s">
        <v>287</v>
      </c>
      <c r="B46" s="9" t="s">
        <v>267</v>
      </c>
      <c r="C46" s="9" t="s">
        <v>288</v>
      </c>
      <c r="D46" s="9" t="s">
        <v>629</v>
      </c>
      <c r="E46" s="9" t="s">
        <v>290</v>
      </c>
      <c r="F46" s="9" t="s">
        <v>630</v>
      </c>
      <c r="G46" s="9" t="s">
        <v>350</v>
      </c>
      <c r="H46" s="9" t="s">
        <v>631</v>
      </c>
      <c r="I46" s="9" t="s">
        <v>291</v>
      </c>
      <c r="J46" s="9" t="s">
        <v>61</v>
      </c>
      <c r="K46" s="9" t="s">
        <v>215</v>
      </c>
      <c r="L46" s="9" t="s">
        <v>151</v>
      </c>
    </row>
    <row r="47" spans="1:12">
      <c r="A47" s="9" t="s">
        <v>292</v>
      </c>
      <c r="B47" s="9" t="s">
        <v>267</v>
      </c>
      <c r="C47" s="9" t="s">
        <v>293</v>
      </c>
      <c r="D47" s="9" t="s">
        <v>632</v>
      </c>
      <c r="E47" s="9" t="s">
        <v>295</v>
      </c>
      <c r="F47" s="9" t="s">
        <v>350</v>
      </c>
      <c r="G47" s="9" t="s">
        <v>350</v>
      </c>
      <c r="H47" s="9" t="s">
        <v>628</v>
      </c>
      <c r="I47" s="9" t="s">
        <v>296</v>
      </c>
      <c r="J47" s="9" t="s">
        <v>77</v>
      </c>
      <c r="K47" s="9" t="s">
        <v>215</v>
      </c>
      <c r="L47" s="9" t="s">
        <v>217</v>
      </c>
    </row>
    <row r="48" spans="1:12">
      <c r="A48" s="9" t="s">
        <v>297</v>
      </c>
      <c r="B48" s="9" t="s">
        <v>267</v>
      </c>
      <c r="C48" s="9" t="s">
        <v>298</v>
      </c>
      <c r="D48" s="9" t="s">
        <v>633</v>
      </c>
      <c r="E48" s="9" t="s">
        <v>221</v>
      </c>
      <c r="F48" s="9" t="s">
        <v>350</v>
      </c>
      <c r="G48" s="9" t="s">
        <v>350</v>
      </c>
      <c r="H48" s="9" t="s">
        <v>608</v>
      </c>
      <c r="I48" s="9" t="s">
        <v>300</v>
      </c>
      <c r="J48" s="9" t="s">
        <v>77</v>
      </c>
      <c r="K48" s="9" t="s">
        <v>215</v>
      </c>
      <c r="L48" s="9" t="s">
        <v>108</v>
      </c>
    </row>
    <row r="49" spans="1:12">
      <c r="A49" s="9" t="s">
        <v>301</v>
      </c>
      <c r="B49" s="9" t="s">
        <v>267</v>
      </c>
      <c r="C49" s="9" t="s">
        <v>302</v>
      </c>
      <c r="D49" s="9" t="s">
        <v>634</v>
      </c>
      <c r="E49" s="9" t="s">
        <v>304</v>
      </c>
      <c r="F49" s="9" t="s">
        <v>350</v>
      </c>
      <c r="G49" s="9" t="s">
        <v>350</v>
      </c>
      <c r="H49" s="9" t="s">
        <v>542</v>
      </c>
      <c r="I49" s="9" t="s">
        <v>305</v>
      </c>
      <c r="J49" s="9" t="s">
        <v>124</v>
      </c>
      <c r="K49" s="9" t="s">
        <v>118</v>
      </c>
      <c r="L49" s="9" t="s">
        <v>108</v>
      </c>
    </row>
    <row r="50" spans="1:12">
      <c r="A50" s="9" t="s">
        <v>306</v>
      </c>
      <c r="B50" s="9" t="s">
        <v>267</v>
      </c>
      <c r="C50" s="9" t="s">
        <v>307</v>
      </c>
      <c r="D50" s="9" t="s">
        <v>635</v>
      </c>
      <c r="E50" s="9" t="s">
        <v>309</v>
      </c>
      <c r="F50" s="9" t="s">
        <v>630</v>
      </c>
      <c r="G50" s="9" t="s">
        <v>350</v>
      </c>
      <c r="H50" s="9" t="s">
        <v>636</v>
      </c>
      <c r="I50" s="9" t="s">
        <v>310</v>
      </c>
      <c r="J50" s="9" t="s">
        <v>77</v>
      </c>
      <c r="K50" s="9" t="s">
        <v>215</v>
      </c>
      <c r="L50" s="9" t="s">
        <v>151</v>
      </c>
    </row>
    <row r="51" spans="1:12">
      <c r="A51" s="9" t="s">
        <v>311</v>
      </c>
      <c r="B51" s="9" t="s">
        <v>267</v>
      </c>
      <c r="C51" s="9" t="s">
        <v>312</v>
      </c>
      <c r="D51" s="9" t="s">
        <v>637</v>
      </c>
      <c r="E51" s="9" t="s">
        <v>314</v>
      </c>
      <c r="F51" s="9" t="s">
        <v>350</v>
      </c>
      <c r="G51" s="9" t="s">
        <v>350</v>
      </c>
      <c r="H51" s="9" t="s">
        <v>350</v>
      </c>
      <c r="I51" s="9" t="s">
        <v>315</v>
      </c>
      <c r="J51" s="9" t="s">
        <v>124</v>
      </c>
      <c r="K51" s="9" t="s">
        <v>118</v>
      </c>
      <c r="L51" s="9" t="s">
        <v>108</v>
      </c>
    </row>
    <row r="52" spans="1:12">
      <c r="A52" s="9" t="s">
        <v>316</v>
      </c>
      <c r="B52" s="9" t="s">
        <v>267</v>
      </c>
      <c r="C52" s="9" t="s">
        <v>317</v>
      </c>
      <c r="D52" s="9" t="s">
        <v>638</v>
      </c>
      <c r="E52" s="9" t="s">
        <v>189</v>
      </c>
      <c r="F52" s="9" t="s">
        <v>350</v>
      </c>
      <c r="G52" s="9" t="s">
        <v>583</v>
      </c>
      <c r="H52" s="9" t="s">
        <v>584</v>
      </c>
      <c r="I52" s="9" t="s">
        <v>319</v>
      </c>
      <c r="J52" s="9" t="s">
        <v>77</v>
      </c>
      <c r="K52" s="9" t="s">
        <v>118</v>
      </c>
      <c r="L52" s="9" t="s">
        <v>108</v>
      </c>
    </row>
    <row r="53" spans="1:12">
      <c r="A53" s="9" t="s">
        <v>320</v>
      </c>
      <c r="B53" s="9" t="s">
        <v>321</v>
      </c>
      <c r="C53" s="9" t="s">
        <v>322</v>
      </c>
      <c r="D53" s="9" t="s">
        <v>639</v>
      </c>
      <c r="E53" s="9" t="s">
        <v>60</v>
      </c>
      <c r="F53" s="9" t="s">
        <v>640</v>
      </c>
      <c r="G53" s="9" t="s">
        <v>545</v>
      </c>
      <c r="H53" s="9" t="s">
        <v>641</v>
      </c>
      <c r="I53" s="9" t="s">
        <v>324</v>
      </c>
      <c r="J53" s="9" t="s">
        <v>61</v>
      </c>
      <c r="K53" s="9" t="s">
        <v>62</v>
      </c>
      <c r="L53" s="9" t="s">
        <v>245</v>
      </c>
    </row>
    <row r="54" spans="1:12">
      <c r="A54" s="9" t="s">
        <v>325</v>
      </c>
      <c r="B54" s="9" t="s">
        <v>321</v>
      </c>
      <c r="C54" s="9" t="s">
        <v>326</v>
      </c>
      <c r="D54" s="9" t="s">
        <v>642</v>
      </c>
      <c r="E54" s="9" t="s">
        <v>328</v>
      </c>
      <c r="F54" s="9" t="s">
        <v>544</v>
      </c>
      <c r="G54" s="9" t="s">
        <v>545</v>
      </c>
      <c r="H54" s="9" t="s">
        <v>643</v>
      </c>
      <c r="I54" s="9" t="s">
        <v>329</v>
      </c>
      <c r="J54" s="9" t="s">
        <v>61</v>
      </c>
      <c r="K54" s="9" t="s">
        <v>215</v>
      </c>
      <c r="L54" s="9" t="s">
        <v>245</v>
      </c>
    </row>
    <row r="55" spans="1:12">
      <c r="A55" s="9" t="s">
        <v>330</v>
      </c>
      <c r="B55" s="9" t="s">
        <v>321</v>
      </c>
      <c r="C55" s="9" t="s">
        <v>331</v>
      </c>
      <c r="D55" s="9" t="s">
        <v>644</v>
      </c>
      <c r="E55" s="9" t="s">
        <v>333</v>
      </c>
      <c r="F55" s="9" t="s">
        <v>627</v>
      </c>
      <c r="G55" s="9" t="s">
        <v>350</v>
      </c>
      <c r="H55" s="9" t="s">
        <v>608</v>
      </c>
      <c r="I55" s="9" t="s">
        <v>334</v>
      </c>
      <c r="J55" s="9" t="s">
        <v>77</v>
      </c>
      <c r="K55" s="9" t="s">
        <v>215</v>
      </c>
      <c r="L55" s="9" t="s">
        <v>245</v>
      </c>
    </row>
    <row r="56" spans="1:12">
      <c r="A56" s="9" t="s">
        <v>335</v>
      </c>
      <c r="B56" s="9" t="s">
        <v>321</v>
      </c>
      <c r="C56" s="9" t="s">
        <v>336</v>
      </c>
      <c r="D56" s="9" t="s">
        <v>645</v>
      </c>
      <c r="E56" s="9" t="s">
        <v>60</v>
      </c>
      <c r="F56" s="9" t="s">
        <v>646</v>
      </c>
      <c r="G56" s="9" t="s">
        <v>350</v>
      </c>
      <c r="H56" s="9" t="s">
        <v>647</v>
      </c>
      <c r="I56" s="9" t="s">
        <v>338</v>
      </c>
      <c r="J56" s="9" t="s">
        <v>61</v>
      </c>
      <c r="K56" s="9" t="s">
        <v>88</v>
      </c>
      <c r="L56" s="9" t="s">
        <v>339</v>
      </c>
    </row>
    <row r="57" spans="1:12">
      <c r="A57" s="9" t="s">
        <v>340</v>
      </c>
      <c r="B57" s="9" t="s">
        <v>341</v>
      </c>
      <c r="C57" s="9" t="s">
        <v>342</v>
      </c>
      <c r="D57" s="9" t="s">
        <v>648</v>
      </c>
      <c r="E57" s="9" t="s">
        <v>344</v>
      </c>
      <c r="F57" s="9" t="s">
        <v>617</v>
      </c>
      <c r="G57" s="9" t="s">
        <v>618</v>
      </c>
      <c r="H57" s="9" t="s">
        <v>649</v>
      </c>
      <c r="I57" s="9" t="s">
        <v>345</v>
      </c>
      <c r="J57" s="9" t="s">
        <v>77</v>
      </c>
      <c r="K57" s="9" t="s">
        <v>215</v>
      </c>
      <c r="L57" s="9" t="s">
        <v>346</v>
      </c>
    </row>
    <row r="58" spans="1:12">
      <c r="A58" s="9" t="s">
        <v>347</v>
      </c>
      <c r="B58" s="9" t="s">
        <v>341</v>
      </c>
      <c r="C58" s="9" t="s">
        <v>348</v>
      </c>
      <c r="D58" s="9" t="s">
        <v>650</v>
      </c>
      <c r="E58" s="9" t="s">
        <v>350</v>
      </c>
      <c r="F58" s="9" t="s">
        <v>350</v>
      </c>
      <c r="G58" s="9" t="s">
        <v>597</v>
      </c>
      <c r="H58" s="9" t="s">
        <v>350</v>
      </c>
      <c r="I58" s="9" t="s">
        <v>351</v>
      </c>
      <c r="J58" s="9" t="s">
        <v>77</v>
      </c>
      <c r="K58" s="9" t="s">
        <v>88</v>
      </c>
      <c r="L58" s="9" t="s">
        <v>352</v>
      </c>
    </row>
    <row r="60" spans="1:12" ht="45" customHeight="1">
      <c r="A60" s="5" t="s">
        <v>651</v>
      </c>
      <c r="B60" s="2" t="s">
        <v>652</v>
      </c>
      <c r="C60" s="2"/>
      <c r="D60" s="2"/>
      <c r="E60" s="2"/>
      <c r="F60" s="2"/>
      <c r="G60" s="2"/>
      <c r="H60" s="2"/>
      <c r="I60" s="2"/>
    </row>
  </sheetData>
  <autoFilter ref="A4:L58"/>
  <mergeCells count="1">
    <mergeCell ref="B60:I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Scanner</vt:lpstr>
      <vt:lpstr>Dashboard</vt:lpstr>
      <vt:lpstr>Threat Coverage</vt:lpstr>
      <vt:lpstr>30-Day Roadmap</vt:lpstr>
      <vt:lpstr>Control Catalogue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2026-10-27T10:05:07Z</dcterms:created>
  <dcterms:modified xsi:type="dcterms:W3CDTF">2026-10-27T10:05:07Z</dcterms:modified>
</cp:coreProperties>
</file>